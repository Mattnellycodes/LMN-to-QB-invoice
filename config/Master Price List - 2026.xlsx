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Materials" sheetId="1" r:id="rId5"/>
    <sheet state="visible" name="QB Import materials" sheetId="2" r:id="rId6"/>
    <sheet state="visible" name="LMN Import Materials" sheetId="3" r:id="rId7"/>
    <sheet state="visible" name="QB Import Equipment and Labor" sheetId="4" r:id="rId8"/>
    <sheet state="visible" name="Irrigation Bundles 2026" sheetId="5" r:id="rId9"/>
    <sheet state="visible" name="MasterMaint Prices" sheetId="6" r:id="rId10"/>
  </sheets>
  <definedNames/>
  <calcPr/>
</workbook>
</file>

<file path=xl/sharedStrings.xml><?xml version="1.0" encoding="utf-8"?>
<sst xmlns="http://schemas.openxmlformats.org/spreadsheetml/2006/main" count="3220" uniqueCount="818">
  <si>
    <t>Name</t>
  </si>
  <si>
    <t>ID</t>
  </si>
  <si>
    <t>Type</t>
  </si>
  <si>
    <t>Size</t>
  </si>
  <si>
    <t>Description</t>
  </si>
  <si>
    <t>Internal</t>
  </si>
  <si>
    <t>Units</t>
  </si>
  <si>
    <t>Round</t>
  </si>
  <si>
    <t>Cost</t>
  </si>
  <si>
    <t>Price</t>
  </si>
  <si>
    <t>FixedPrice</t>
  </si>
  <si>
    <t>Profit</t>
  </si>
  <si>
    <t>Ship</t>
  </si>
  <si>
    <t>Warranty</t>
  </si>
  <si>
    <t>LastEditDate</t>
  </si>
  <si>
    <t>QBO Sheet Verification</t>
  </si>
  <si>
    <t>1.25" Poly Fitting</t>
  </si>
  <si>
    <t>NEW048</t>
  </si>
  <si>
    <t>1.25" Fitting, ea</t>
  </si>
  <si>
    <t>ea</t>
  </si>
  <si>
    <t>1.25" Poly, Ft</t>
  </si>
  <si>
    <t>NEW047</t>
  </si>
  <si>
    <t>1.25" Poly, Ft.</t>
  </si>
  <si>
    <t>ft</t>
  </si>
  <si>
    <t>Y</t>
  </si>
  <si>
    <t>1.25" Stretch Repair Coupling</t>
  </si>
  <si>
    <t>LMN42485636</t>
  </si>
  <si>
    <t>H</t>
  </si>
  <si>
    <t>1.5" Poly Fitting, ea</t>
  </si>
  <si>
    <t>LMN40150704</t>
  </si>
  <si>
    <t>1.5" Poly, ft</t>
  </si>
  <si>
    <t>LMN40150705</t>
  </si>
  <si>
    <t>1.5" Stretch Repair Coupling, ea</t>
  </si>
  <si>
    <t>LMN42486243</t>
  </si>
  <si>
    <t>1.5" Tie-In Assembly, ea</t>
  </si>
  <si>
    <t>LMN40150680</t>
  </si>
  <si>
    <t>1" Drip Valve, ea</t>
  </si>
  <si>
    <t>LMN40150676</t>
  </si>
  <si>
    <t>1" Fitting, ea</t>
  </si>
  <si>
    <t>LMN40150670</t>
  </si>
  <si>
    <t>1" Poly, ft</t>
  </si>
  <si>
    <t>LMN40150667</t>
  </si>
  <si>
    <t>1" Stretch Repair Coupling</t>
  </si>
  <si>
    <t>LMN42485635</t>
  </si>
  <si>
    <t>1" Tie-In Assembly, ea</t>
  </si>
  <si>
    <t>LMN40150679</t>
  </si>
  <si>
    <t>1" Valve, ea</t>
  </si>
  <si>
    <t>LMN40150674</t>
  </si>
  <si>
    <t>1/2" Fitting, ea</t>
  </si>
  <si>
    <t>LMN40150665</t>
  </si>
  <si>
    <t>1/2" Poly, ft</t>
  </si>
  <si>
    <t>LMN40150666</t>
  </si>
  <si>
    <t>1800 with Nozzle and Street L</t>
  </si>
  <si>
    <t>LMN41760317</t>
  </si>
  <si>
    <t>Each</t>
  </si>
  <si>
    <t>2" Poly Fitting, ea</t>
  </si>
  <si>
    <t>LMN40150707</t>
  </si>
  <si>
    <t>2" Poly, ft</t>
  </si>
  <si>
    <t>LMN40150706</t>
  </si>
  <si>
    <t>2" PVC Fitting, ea</t>
  </si>
  <si>
    <t>NEW033</t>
  </si>
  <si>
    <t>2" Stretch Repair Coupling, ea</t>
  </si>
  <si>
    <t>LMN42487087</t>
  </si>
  <si>
    <t>3/4" Brass Quick Coupler, ea</t>
  </si>
  <si>
    <t>NEW034</t>
  </si>
  <si>
    <t>4" Corrugated Drain Pipe, ft</t>
  </si>
  <si>
    <t>LMN40150730</t>
  </si>
  <si>
    <t>4" Corrugated Fitting, ea</t>
  </si>
  <si>
    <t>LMN40150731</t>
  </si>
  <si>
    <t>4" PVC Sewer Fitting, ea</t>
  </si>
  <si>
    <t>LMN40150733</t>
  </si>
  <si>
    <t>4" PVC Sewer Pipe, ft</t>
  </si>
  <si>
    <t>LMN40150732</t>
  </si>
  <si>
    <t>5004 with Street L, ea</t>
  </si>
  <si>
    <t>LMN41760319</t>
  </si>
  <si>
    <t>800M4 Backflow, ea</t>
  </si>
  <si>
    <t>NEW035</t>
  </si>
  <si>
    <t>Action Fitting, ea</t>
  </si>
  <si>
    <t>NEW043</t>
  </si>
  <si>
    <t>Action Manifold, ea</t>
  </si>
  <si>
    <t>LMN40150675</t>
  </si>
  <si>
    <t>Alpine Fir, 10', ea</t>
  </si>
  <si>
    <t>LMN43636215</t>
  </si>
  <si>
    <t>Alpine Fir, 12', ea</t>
  </si>
  <si>
    <t>LMN43636217</t>
  </si>
  <si>
    <t>Annual Flower Pot, 1 Gal, ea</t>
  </si>
  <si>
    <t>NEW002</t>
  </si>
  <si>
    <t>Annual Flower Pot, 1 Qt, ea</t>
  </si>
  <si>
    <t>NEW003</t>
  </si>
  <si>
    <t>Annual Flower Pot, 4", ea</t>
  </si>
  <si>
    <t>NEW004</t>
  </si>
  <si>
    <t>Annual Flowers, miscellaneous, cost</t>
  </si>
  <si>
    <t>NEW005</t>
  </si>
  <si>
    <t>$</t>
  </si>
  <si>
    <t>Arbor Tie, ft</t>
  </si>
  <si>
    <t>LMN40150744</t>
  </si>
  <si>
    <t>Aspen, 2.5", Mulit Stem, ea</t>
  </si>
  <si>
    <t>LMN40150764</t>
  </si>
  <si>
    <t>Aspen, 2.5", Single Stem, ea</t>
  </si>
  <si>
    <t>LMN40150758</t>
  </si>
  <si>
    <t>Aspen, 2", Mulit Stem, ea</t>
  </si>
  <si>
    <t>LMN40150763</t>
  </si>
  <si>
    <t>Aspen, 2", Single Stem, ea</t>
  </si>
  <si>
    <t>LMN40150757</t>
  </si>
  <si>
    <t>Aspen, 3.5", Single Stem, ea</t>
  </si>
  <si>
    <t>LMN40150760</t>
  </si>
  <si>
    <t>Aspen, 3", Mulit Stem, ea</t>
  </si>
  <si>
    <t>LMN40150765</t>
  </si>
  <si>
    <t>Aspen, 3", Single Stem, ea</t>
  </si>
  <si>
    <t>LMN40150759</t>
  </si>
  <si>
    <t>Aspen, 4.5", Single Stem, ea</t>
  </si>
  <si>
    <t>LMN40150762</t>
  </si>
  <si>
    <t>Aspen, 4", Single Stem, ea</t>
  </si>
  <si>
    <t>LMN40150761</t>
  </si>
  <si>
    <t>Belgard Pavers, sf</t>
  </si>
  <si>
    <t>LMN46192893</t>
  </si>
  <si>
    <t>sf</t>
  </si>
  <si>
    <t>Blazing Saddles, ea</t>
  </si>
  <si>
    <t>LMN40150683</t>
  </si>
  <si>
    <t>Boulder, Quarry Works, ton</t>
  </si>
  <si>
    <t>LMN40150708</t>
  </si>
  <si>
    <t>ton</t>
  </si>
  <si>
    <t>Bristlecone Pine, 6', ea</t>
  </si>
  <si>
    <t>LMN45440733</t>
  </si>
  <si>
    <t>Bubbler, ea</t>
  </si>
  <si>
    <t>LMN40150684</t>
  </si>
  <si>
    <t>Bulb, ea</t>
  </si>
  <si>
    <t>LMN40150788</t>
  </si>
  <si>
    <t>Bulk, misc, cost</t>
  </si>
  <si>
    <t>LMN43171760</t>
  </si>
  <si>
    <t>Caging, linear, ft</t>
  </si>
  <si>
    <t>NEW006</t>
  </si>
  <si>
    <t>Cobble, yd</t>
  </si>
  <si>
    <t>LMN40150725</t>
  </si>
  <si>
    <t>yd</t>
  </si>
  <si>
    <t>Compost, Bagged, ea</t>
  </si>
  <si>
    <t>LMN40150720</t>
  </si>
  <si>
    <t>Compost, Bulk, yd</t>
  </si>
  <si>
    <t>LMN40150719</t>
  </si>
  <si>
    <t>Concrete Delivered, yd</t>
  </si>
  <si>
    <t>LMN40150738</t>
  </si>
  <si>
    <t>Concrete, Bagged, ea</t>
  </si>
  <si>
    <t>LMN40150737</t>
  </si>
  <si>
    <t>Controller, Hunter HPC 400, ea</t>
  </si>
  <si>
    <t>LMN40150692</t>
  </si>
  <si>
    <t>Controller, Hunter HPC Module, ea</t>
  </si>
  <si>
    <t>LMN40150693</t>
  </si>
  <si>
    <t>Controller, Hunter Icore Dual (2 wire), ea</t>
  </si>
  <si>
    <t>LMN40150696</t>
  </si>
  <si>
    <t>Controller, Rainbird ESP ME, ea</t>
  </si>
  <si>
    <t>LMN40150694</t>
  </si>
  <si>
    <t>Controller, Rainbird ESP Module, ea</t>
  </si>
  <si>
    <t>LMN40150695</t>
  </si>
  <si>
    <t>Crimp Rings, ea</t>
  </si>
  <si>
    <t>NEW044</t>
  </si>
  <si>
    <t>Crusher Fines, yd</t>
  </si>
  <si>
    <t>LMN40150724</t>
  </si>
  <si>
    <t>DC Solenoid, ea</t>
  </si>
  <si>
    <t>LMN40150691</t>
  </si>
  <si>
    <t>Deciduous Cottonwood, 2.5", ea</t>
  </si>
  <si>
    <t>LMN40150770</t>
  </si>
  <si>
    <t>Deciduous Cottonwood 2.5", ea</t>
  </si>
  <si>
    <t>Deciduous Cottonwood, 2", ea</t>
  </si>
  <si>
    <t>LMN40150769</t>
  </si>
  <si>
    <t>Deciduous Cottonwood 2", ea</t>
  </si>
  <si>
    <t>Deciduous Cottonwood, 3", ea</t>
  </si>
  <si>
    <t>LMN40150771</t>
  </si>
  <si>
    <t>Deciduous Cottonwood 3", ea</t>
  </si>
  <si>
    <t>Deciduous Shade/Fruit, 2.5", ea</t>
  </si>
  <si>
    <t>LMN40150767</t>
  </si>
  <si>
    <t>Deciduous Shade/Fruit 2.5", ea</t>
  </si>
  <si>
    <t>Deciduous Shade/Fruit, 2", ea</t>
  </si>
  <si>
    <t>LMN40150766</t>
  </si>
  <si>
    <t>Deciduous Shade/Fruit 2", ea</t>
  </si>
  <si>
    <t>Deciduous Shade/Fruit, 3", ea</t>
  </si>
  <si>
    <t>LMN40150768</t>
  </si>
  <si>
    <t>Deciduous Shade/Fruit 3", ea</t>
  </si>
  <si>
    <t>Decoder, Hunter Icore, ea</t>
  </si>
  <si>
    <t>LMN40150697</t>
  </si>
  <si>
    <t>Decomposed Granite, yd</t>
  </si>
  <si>
    <t>LMN40150726</t>
  </si>
  <si>
    <t>Deer and Rabbit Spray, Big Sky, ea</t>
  </si>
  <si>
    <t>NEW007</t>
  </si>
  <si>
    <t>Deer and Rabbit Spray, Bozeman, ea</t>
  </si>
  <si>
    <t>NEW008</t>
  </si>
  <si>
    <t>Delivery (Install), Big Sky, ea</t>
  </si>
  <si>
    <t>NEW009</t>
  </si>
  <si>
    <t>Delivery, Big Sky, ea</t>
  </si>
  <si>
    <t>Delivery (Install), Bozeman, ea</t>
  </si>
  <si>
    <t>NEW010</t>
  </si>
  <si>
    <t>Delivery, Bozeman, ea</t>
  </si>
  <si>
    <t>Delivery (Maintenance), Big Sky, ea</t>
  </si>
  <si>
    <t>Delivery (Maintenance), Bozeman, ea</t>
  </si>
  <si>
    <t>Douglas Fir, 10', ea</t>
  </si>
  <si>
    <t>LMN44279462</t>
  </si>
  <si>
    <t>Douglas Fir, 6', ea</t>
  </si>
  <si>
    <t>LMN44279620</t>
  </si>
  <si>
    <t>Douglas Fir, 7', ea</t>
  </si>
  <si>
    <t>LMN44279617</t>
  </si>
  <si>
    <t>Douglas Fir, 8', ea</t>
  </si>
  <si>
    <t>LMN44279455</t>
  </si>
  <si>
    <t>Douglas Fir, 9', ea</t>
  </si>
  <si>
    <t>LMN44279460</t>
  </si>
  <si>
    <t>Drip Emitter, ea</t>
  </si>
  <si>
    <t>LMN40150668</t>
  </si>
  <si>
    <t>Dump Fee Big Sky, ea</t>
  </si>
  <si>
    <t>LMN49034492</t>
  </si>
  <si>
    <t>Debris Dump Fee Big Sky, ea</t>
  </si>
  <si>
    <t>Dump Fee Bozeman, ea</t>
  </si>
  <si>
    <t>NEW011</t>
  </si>
  <si>
    <t>Debris Dump Fee Bozeman, ea</t>
  </si>
  <si>
    <t>Edging, Aluminium, ft</t>
  </si>
  <si>
    <t>LMN40150742</t>
  </si>
  <si>
    <t>Edging, Aluminum Edging Corners, ea</t>
  </si>
  <si>
    <t>LMN45549103</t>
  </si>
  <si>
    <t>Aluminum Edging Corners, ea</t>
  </si>
  <si>
    <t>Edging, Plastic, ea</t>
  </si>
  <si>
    <t>NEW012</t>
  </si>
  <si>
    <t>Edging, Steel 5" x 1/4", ft</t>
  </si>
  <si>
    <t>LMN40150741</t>
  </si>
  <si>
    <t>Edging, Steel 5" x 3/16", ft</t>
  </si>
  <si>
    <t>LMN40150740</t>
  </si>
  <si>
    <t>Erosion Control Blanket, straw, sf</t>
  </si>
  <si>
    <t>LMN40150795</t>
  </si>
  <si>
    <t>Fertilizer, Bagged, ea</t>
  </si>
  <si>
    <t>LMN40150793</t>
  </si>
  <si>
    <t>Fertilizer, Liquid, ea</t>
  </si>
  <si>
    <t>NEW013</t>
  </si>
  <si>
    <t>Fertilizer, Spikes, ea</t>
  </si>
  <si>
    <t>NEW014</t>
  </si>
  <si>
    <t>Filter Fabric, sf</t>
  </si>
  <si>
    <t>LMN40150729</t>
  </si>
  <si>
    <t>Flagstone, Dimensional Bluestone, sf</t>
  </si>
  <si>
    <t>LMN40150713</t>
  </si>
  <si>
    <t>Flagstone, Frontier, ton</t>
  </si>
  <si>
    <t>LMN40150710</t>
  </si>
  <si>
    <t>Flagstone, Mohave, ton</t>
  </si>
  <si>
    <t>LMN40150712</t>
  </si>
  <si>
    <t>Flagstone, Windsor Grey, ton</t>
  </si>
  <si>
    <t>LMN40150711</t>
  </si>
  <si>
    <t>Gravel, 3/4"- 2", yd</t>
  </si>
  <si>
    <t>LMN40150723</t>
  </si>
  <si>
    <t>Stone, 3/4" crushed/2" round sewer, yd</t>
  </si>
  <si>
    <t>Hedge Shearing, hr</t>
  </si>
  <si>
    <t>LMN49073499</t>
  </si>
  <si>
    <t>hr</t>
  </si>
  <si>
    <t>Herbicide, gal</t>
  </si>
  <si>
    <t>LMN48941386</t>
  </si>
  <si>
    <t>gal</t>
  </si>
  <si>
    <t>Hose Bib Irrigation Timer, ea</t>
  </si>
  <si>
    <t>LMN45407580</t>
  </si>
  <si>
    <t>Hydromulch, Flexterra, #50 Bale, ea</t>
  </si>
  <si>
    <t>LMN40150792</t>
  </si>
  <si>
    <t>Hydromulch, Wood or Straw, #50 Bale, ea</t>
  </si>
  <si>
    <t>LMN40150794</t>
  </si>
  <si>
    <t>Insecticidal Soap, ea</t>
  </si>
  <si>
    <t>NEW015</t>
  </si>
  <si>
    <t>Irri-gator GT15 pump</t>
  </si>
  <si>
    <t>LMN43624203</t>
  </si>
  <si>
    <t>Lawn Fertilization/Weed Control, ea</t>
  </si>
  <si>
    <t>NEW017</t>
  </si>
  <si>
    <t>Mileage, ea</t>
  </si>
  <si>
    <t>LMN42434662</t>
  </si>
  <si>
    <t>Miscellaneous, 2M Supply, $</t>
  </si>
  <si>
    <t>LMN40150672</t>
  </si>
  <si>
    <t>Miscellaneous, Bulk Material, $</t>
  </si>
  <si>
    <t>LMN40150736</t>
  </si>
  <si>
    <t>Miscellaneous, Irrigation, $</t>
  </si>
  <si>
    <t>NEW036</t>
  </si>
  <si>
    <t>Irrigation, Misc, $</t>
  </si>
  <si>
    <t>Miscellaneous, Lumber, Kenyon Noble Including Hardware, $</t>
  </si>
  <si>
    <t>LMN40150746</t>
  </si>
  <si>
    <t>Miscellaneous, Midland Supply, $</t>
  </si>
  <si>
    <t>LMN40150671</t>
  </si>
  <si>
    <t>Miscellaneous, Mountain Supply, $</t>
  </si>
  <si>
    <t>LMN40150673</t>
  </si>
  <si>
    <t>Mow/Weed Whack Big Sky, hr</t>
  </si>
  <si>
    <t>LMN49034498</t>
  </si>
  <si>
    <t>Mow/Weed Whack Bozeman, hr</t>
  </si>
  <si>
    <t>LMN49067191</t>
  </si>
  <si>
    <t>Mugo Pine, 15 gal/B&amp;B, ea</t>
  </si>
  <si>
    <t>LMN40150772</t>
  </si>
  <si>
    <t>Mulch Glue, gal</t>
  </si>
  <si>
    <t>LMN49355335</t>
  </si>
  <si>
    <t>Mulch, Shredded Cedar, Bagged, ea</t>
  </si>
  <si>
    <t>LMN40150721</t>
  </si>
  <si>
    <t>Mulch, Shredded Cedar, Bulk, yd</t>
  </si>
  <si>
    <t>LMN40150716</t>
  </si>
  <si>
    <t>Mulch, Soil Pep, Bagged, ea</t>
  </si>
  <si>
    <t>LMN40150717</t>
  </si>
  <si>
    <t>Mulch, Soil Pep, Bulk, yd</t>
  </si>
  <si>
    <t>LMN40150722</t>
  </si>
  <si>
    <t>NDS drain box, 12" Includes Grate and Inserts, ea</t>
  </si>
  <si>
    <t>LMN40150735</t>
  </si>
  <si>
    <t>NDS Drain Box, 9" Includes Grate and Inserts, ea</t>
  </si>
  <si>
    <t>LMN40150734</t>
  </si>
  <si>
    <t>Neem Oil, bottle, ea</t>
  </si>
  <si>
    <t>NEW020</t>
  </si>
  <si>
    <t>Netafim, ft</t>
  </si>
  <si>
    <t>LMN40150664</t>
  </si>
  <si>
    <t>Node, 1 Station, ea</t>
  </si>
  <si>
    <t>LMN40150690</t>
  </si>
  <si>
    <t>Node, 2 Station, ea</t>
  </si>
  <si>
    <t>NEW037</t>
  </si>
  <si>
    <t>Noxious weed control, hr</t>
  </si>
  <si>
    <t>NEW021</t>
  </si>
  <si>
    <t>Nozzle, MP Rotator, ea</t>
  </si>
  <si>
    <t>LMN40150687</t>
  </si>
  <si>
    <t>Nozzle, RVAN, ea</t>
  </si>
  <si>
    <t>NEW038</t>
  </si>
  <si>
    <t>Other</t>
  </si>
  <si>
    <t>Paver Edge</t>
  </si>
  <si>
    <t>LMN46147072</t>
  </si>
  <si>
    <t>Ft</t>
  </si>
  <si>
    <t>Paver, 2-3", sf</t>
  </si>
  <si>
    <t>LMN43641020</t>
  </si>
  <si>
    <t>Peony cages, new, ea</t>
  </si>
  <si>
    <t>NEW022</t>
  </si>
  <si>
    <t>Per Diem, daily, ea</t>
  </si>
  <si>
    <t>NEW023</t>
  </si>
  <si>
    <t>Per Diem, overnight, ea</t>
  </si>
  <si>
    <t>NEW024</t>
  </si>
  <si>
    <t>Perennial, 1 gal, ea</t>
  </si>
  <si>
    <t>LMN40150784</t>
  </si>
  <si>
    <t>Perennial, 2 gal, ea</t>
  </si>
  <si>
    <t>LMN43636223</t>
  </si>
  <si>
    <t>Perennial, 4", ea</t>
  </si>
  <si>
    <t>NEW025</t>
  </si>
  <si>
    <t>Perennial, Peony, ea</t>
  </si>
  <si>
    <t>NEW026</t>
  </si>
  <si>
    <t>Perennial, qt, ea</t>
  </si>
  <si>
    <t>LMN46208579</t>
  </si>
  <si>
    <t>Perennial, Woody 1 gal (Kinnick, Mahonia, Rabbitbrush), ea</t>
  </si>
  <si>
    <t>LMN40150785</t>
  </si>
  <si>
    <t>PGV Valve, ea</t>
  </si>
  <si>
    <t>NEW046</t>
  </si>
  <si>
    <t>PGV Valve</t>
  </si>
  <si>
    <t>Pine, Austrian/Scotch/Ponderosa, 10', ea</t>
  </si>
  <si>
    <t>LMN40150775</t>
  </si>
  <si>
    <t>Pine, Austrian/Scotch/Ponderosa, 12', ea</t>
  </si>
  <si>
    <t>LMN44245325</t>
  </si>
  <si>
    <t>Pine, Austrian/Scotch/Ponderosa, 6', ea</t>
  </si>
  <si>
    <t>LMN40150773</t>
  </si>
  <si>
    <t>Pine, Austrian/Scotch/Ponderosa, 8', ea</t>
  </si>
  <si>
    <t>LMN40150774</t>
  </si>
  <si>
    <t>Plant, Misc, $</t>
  </si>
  <si>
    <t>LMN40150787</t>
  </si>
  <si>
    <t>Plants, Shrub, Miscellaneous, ea</t>
  </si>
  <si>
    <t>NEW027</t>
  </si>
  <si>
    <t>Poly Slip Fix, ea</t>
  </si>
  <si>
    <t>NEW045</t>
  </si>
  <si>
    <t>Potting soil, bag, ea</t>
  </si>
  <si>
    <t>NEW028</t>
  </si>
  <si>
    <t>Preene, bucket, ea</t>
  </si>
  <si>
    <t>NEW049</t>
  </si>
  <si>
    <t>Rain Sensor, ea</t>
  </si>
  <si>
    <t>LMN40150703</t>
  </si>
  <si>
    <t>Rainbird 1806</t>
  </si>
  <si>
    <t>LMN42185596</t>
  </si>
  <si>
    <t>Rainbird ESP-SM6 module</t>
  </si>
  <si>
    <t>LMN44195431</t>
  </si>
  <si>
    <t>Rainbird ESP4ME3</t>
  </si>
  <si>
    <t>LMN44195430</t>
  </si>
  <si>
    <t>Rebar, 1/2", ft</t>
  </si>
  <si>
    <t>LMN40150739</t>
  </si>
  <si>
    <t>Road Mix, (1" or 3"), yd</t>
  </si>
  <si>
    <t>LMN40150727</t>
  </si>
  <si>
    <t>Root Start, gal</t>
  </si>
  <si>
    <t>NEW030</t>
  </si>
  <si>
    <t>Roundup, gal</t>
  </si>
  <si>
    <t>NEW031</t>
  </si>
  <si>
    <t>Scree, Flatwillow, ton</t>
  </si>
  <si>
    <t>LMN40150709</t>
  </si>
  <si>
    <t>Seed Mix, Lawn, lb</t>
  </si>
  <si>
    <t>LMN40150789</t>
  </si>
  <si>
    <t>lb</t>
  </si>
  <si>
    <t>Seed Mix, Native, lb</t>
  </si>
  <si>
    <t>LMN40150790</t>
  </si>
  <si>
    <t>Shrub, Deciduous 15 gal/B&amp;B, ea</t>
  </si>
  <si>
    <t>LMN40150779</t>
  </si>
  <si>
    <t>Shrub, Deciduous 2 gal, ea</t>
  </si>
  <si>
    <t>LMN40150776</t>
  </si>
  <si>
    <t>Shrub, Deciduous 5 gal, ea</t>
  </si>
  <si>
    <t>LMN40150777</t>
  </si>
  <si>
    <t>Shrub, Deciduous 7 gal, ea</t>
  </si>
  <si>
    <t>LMN40150778</t>
  </si>
  <si>
    <t>Shrub, Evergreen 15 gal/B&amp;B, ea</t>
  </si>
  <si>
    <t>LMN40150783</t>
  </si>
  <si>
    <t>Shrub, Evergreen 2 gal, ea</t>
  </si>
  <si>
    <t>LMN40150780</t>
  </si>
  <si>
    <t>Shrub, Evergreen 5 gal, ea</t>
  </si>
  <si>
    <t>LMN40150781</t>
  </si>
  <si>
    <t>Shrub, Evergreen 7/10 gal, ea</t>
  </si>
  <si>
    <t>LMN40150782</t>
  </si>
  <si>
    <t>Shrub, Multistem, 6-8', ea</t>
  </si>
  <si>
    <t>LMN40150786</t>
  </si>
  <si>
    <t>Spaghetti Pipe, ft</t>
  </si>
  <si>
    <t>LMN40150669</t>
  </si>
  <si>
    <t>Sprinkler, 1804, ea</t>
  </si>
  <si>
    <t>NEW041</t>
  </si>
  <si>
    <t>Sprinkler, 1812, ea</t>
  </si>
  <si>
    <t>LMN40150688</t>
  </si>
  <si>
    <t>Sprinkler, 3504, ea</t>
  </si>
  <si>
    <t>LMN45473708</t>
  </si>
  <si>
    <t>Sprinker, 3504, ea</t>
  </si>
  <si>
    <t>Sprinkler, 5012, ea</t>
  </si>
  <si>
    <t>LMN40150689</t>
  </si>
  <si>
    <t>Sprinkler, Rainbird 3500, ea</t>
  </si>
  <si>
    <t>NEW042</t>
  </si>
  <si>
    <t>Spruce, 10', ea</t>
  </si>
  <si>
    <t>LMN40150750</t>
  </si>
  <si>
    <t>Spruce, 12', ea</t>
  </si>
  <si>
    <t>LMN40150751</t>
  </si>
  <si>
    <t>Spruce, 14', ea</t>
  </si>
  <si>
    <t>LMN40150752</t>
  </si>
  <si>
    <t>Spruce, 16', ea</t>
  </si>
  <si>
    <t>LMN40150753</t>
  </si>
  <si>
    <t>Spruce, 18', ea</t>
  </si>
  <si>
    <t>LMN40150754</t>
  </si>
  <si>
    <t>Spruce, 20', ea</t>
  </si>
  <si>
    <t>LMN40150755</t>
  </si>
  <si>
    <t>Spruce, 22', ea</t>
  </si>
  <si>
    <t>LMN40150756</t>
  </si>
  <si>
    <t>Spruce, 4', ea</t>
  </si>
  <si>
    <t>LMN40150749</t>
  </si>
  <si>
    <t>Spruce, 6', ea</t>
  </si>
  <si>
    <t>LMN40150747</t>
  </si>
  <si>
    <t>Spruce, 8', ea</t>
  </si>
  <si>
    <t>LMN40150748</t>
  </si>
  <si>
    <t>Stone, Rock bark or Equivalent, yd</t>
  </si>
  <si>
    <t>LMN40150718</t>
  </si>
  <si>
    <t>Swing Fittings, ea</t>
  </si>
  <si>
    <t>LMN40150682</t>
  </si>
  <si>
    <t>Swing Pipe, ft</t>
  </si>
  <si>
    <t>LMN40150681</t>
  </si>
  <si>
    <t>T-post, 6' Metal, ea</t>
  </si>
  <si>
    <t>LMN40150743</t>
  </si>
  <si>
    <t>Topsoil, yd</t>
  </si>
  <si>
    <t>LMN40150715</t>
  </si>
  <si>
    <t>Treads, Frontier, ton</t>
  </si>
  <si>
    <t>LMN40150714</t>
  </si>
  <si>
    <t>Twine, ft</t>
  </si>
  <si>
    <t>NEW032</t>
  </si>
  <si>
    <t>Valve Box 6" Round, ea</t>
  </si>
  <si>
    <t>NEW051</t>
  </si>
  <si>
    <t>Valve Box, 6'' Round, ea</t>
  </si>
  <si>
    <t>Valve Box, 10" Round, ea</t>
  </si>
  <si>
    <t>LMN40150678</t>
  </si>
  <si>
    <t>Valve Box, 10'' Round, ea</t>
  </si>
  <si>
    <t>Valve Box, Jumbo, ea</t>
  </si>
  <si>
    <t>LMN40150677</t>
  </si>
  <si>
    <t>Valve box, Normal Rectangular</t>
  </si>
  <si>
    <t>NEW050</t>
  </si>
  <si>
    <t>Valve Box, Rectangular, ea</t>
  </si>
  <si>
    <t>Weedmat Pins, ea</t>
  </si>
  <si>
    <t>NEW052</t>
  </si>
  <si>
    <t>Weedmat, sf</t>
  </si>
  <si>
    <t>LMN40150728</t>
  </si>
  <si>
    <t>Wildflower Seed, lb</t>
  </si>
  <si>
    <t>LMN40150791</t>
  </si>
  <si>
    <t>Wire Nuts, 3M (pair), ea</t>
  </si>
  <si>
    <t>LMN40150702</t>
  </si>
  <si>
    <t>Wire Nuts, Snaplock, ea</t>
  </si>
  <si>
    <t>LMN40150701</t>
  </si>
  <si>
    <t>Wire, 2-wire Irrigation Control, ft</t>
  </si>
  <si>
    <t>LMN40150699</t>
  </si>
  <si>
    <t>Wire, Irrigation Control (10 Strand), ft</t>
  </si>
  <si>
    <t>LMN40150698</t>
  </si>
  <si>
    <t>Wire, 10-strand Irrigation Control, ft</t>
  </si>
  <si>
    <t>Wire, Irrigation Control (13 Strand)</t>
  </si>
  <si>
    <t>NEW054</t>
  </si>
  <si>
    <t>Wire,13 Strand Irrigation Control, Ft</t>
  </si>
  <si>
    <t>Wire, Irrigation Control (7 Strand)</t>
  </si>
  <si>
    <t>NEW053</t>
  </si>
  <si>
    <t>Wire, 7 Strand Irrigation Control, Ft</t>
  </si>
  <si>
    <t>Wire, Landscaping Lighting 10 Gauge, ft</t>
  </si>
  <si>
    <t>LMN40150700</t>
  </si>
  <si>
    <t>Wood Tree Post, ea</t>
  </si>
  <si>
    <t>LMN40150745</t>
  </si>
  <si>
    <t>1" Poly Repair Bundle, ea</t>
  </si>
  <si>
    <t>NEW055</t>
  </si>
  <si>
    <t>1.25" Poly Repair Bundle, ea</t>
  </si>
  <si>
    <t>NEW056</t>
  </si>
  <si>
    <t>1.5" Poly Repair Bundle, ea</t>
  </si>
  <si>
    <t>NEW057</t>
  </si>
  <si>
    <t>Wire Splice Bundle (7 Strand), ea</t>
  </si>
  <si>
    <t>NEW058</t>
  </si>
  <si>
    <t>Wire Splice Bundle (10 Strand), ea</t>
  </si>
  <si>
    <t>NEW059</t>
  </si>
  <si>
    <t>Wire Splice Bundle (13 Strand), ea</t>
  </si>
  <si>
    <t>NEW060</t>
  </si>
  <si>
    <t>Product/Service Name</t>
  </si>
  <si>
    <t>Variant Name</t>
  </si>
  <si>
    <t>Quantity on hand</t>
  </si>
  <si>
    <t>Item type</t>
  </si>
  <si>
    <t>Single,parent or variant?</t>
  </si>
  <si>
    <t>Category</t>
  </si>
  <si>
    <t>SKU</t>
  </si>
  <si>
    <t>Income Account</t>
  </si>
  <si>
    <t>Expense Account</t>
  </si>
  <si>
    <t>Inventory asset account</t>
  </si>
  <si>
    <t>Sales Description</t>
  </si>
  <si>
    <t>Purchase Description</t>
  </si>
  <si>
    <t>Reorder Point</t>
  </si>
  <si>
    <t>Column 1</t>
  </si>
  <si>
    <t>Non-inventory</t>
  </si>
  <si>
    <t>Single</t>
  </si>
  <si>
    <t>Irrigation Materials</t>
  </si>
  <si>
    <t>1.5" Poly Fitting</t>
  </si>
  <si>
    <t>1.5" Poly</t>
  </si>
  <si>
    <t>1.5" Stretch Repair Coupling</t>
  </si>
  <si>
    <t>1.5" Tie-In Assembly</t>
  </si>
  <si>
    <t>1" Drip Valve</t>
  </si>
  <si>
    <t>1" Fitting</t>
  </si>
  <si>
    <t>1" Poly</t>
  </si>
  <si>
    <t>1" Tie-In Assembly</t>
  </si>
  <si>
    <t>1" Valve</t>
  </si>
  <si>
    <t>1/2" Fitting</t>
  </si>
  <si>
    <t>1/2" Poly</t>
  </si>
  <si>
    <t>2" Poly Fitting</t>
  </si>
  <si>
    <t>2" Poly</t>
  </si>
  <si>
    <t>2" PVC Fitting</t>
  </si>
  <si>
    <t>2" Stretch Repair Coupling</t>
  </si>
  <si>
    <t>3/4" Brass Quick Coupler</t>
  </si>
  <si>
    <t>Landscaping Materials</t>
  </si>
  <si>
    <t>Drainage Materials</t>
  </si>
  <si>
    <t>4" Corrugated Drain Pipe</t>
  </si>
  <si>
    <t>4" Corrugated Fitting</t>
  </si>
  <si>
    <t>4" PVC Sewer Fitting</t>
  </si>
  <si>
    <t>4" PVC Sewer Pipe</t>
  </si>
  <si>
    <t>5004 with Street L</t>
  </si>
  <si>
    <t>800M4 Backflow</t>
  </si>
  <si>
    <t>Action Fitting</t>
  </si>
  <si>
    <t>Action Manifold</t>
  </si>
  <si>
    <t>Plants</t>
  </si>
  <si>
    <t>Trees</t>
  </si>
  <si>
    <t>Alpine Fir, 10'</t>
  </si>
  <si>
    <t>Alpine Fir, 12'</t>
  </si>
  <si>
    <t>Annuals</t>
  </si>
  <si>
    <t>Annual Flower Pot, 1 Gal</t>
  </si>
  <si>
    <t>Annual Flower Pot, 1 Qt</t>
  </si>
  <si>
    <t>Annual Flower Pot, 4"</t>
  </si>
  <si>
    <t>Landscape Materials</t>
  </si>
  <si>
    <t>Arbor Tie</t>
  </si>
  <si>
    <t>Aspen, 2.5", Mulit Stem</t>
  </si>
  <si>
    <t>Aspen, 2.5", Single Stem</t>
  </si>
  <si>
    <t>Aspen, 2", Mulit Stem</t>
  </si>
  <si>
    <t>Aspen, 2", Single Stem</t>
  </si>
  <si>
    <t>Aspen, 3.5", Single Stem</t>
  </si>
  <si>
    <t>Aspen, 3", Mulit Stem</t>
  </si>
  <si>
    <t>Aspen, 3", Single Stem</t>
  </si>
  <si>
    <t>Aspen, 4.5", Single Stem</t>
  </si>
  <si>
    <t>Aspen, 4", Single Stem</t>
  </si>
  <si>
    <t>Hardscape Materials</t>
  </si>
  <si>
    <t>Belgard Pavers</t>
  </si>
  <si>
    <t>Blazing Saddles</t>
  </si>
  <si>
    <t>Boulder, Quarry Works</t>
  </si>
  <si>
    <t>Bristlecone Pine, 6'</t>
  </si>
  <si>
    <t>Bubbler</t>
  </si>
  <si>
    <t>Bulbs</t>
  </si>
  <si>
    <t>Bulb</t>
  </si>
  <si>
    <t>Bulk</t>
  </si>
  <si>
    <t>Maintenance</t>
  </si>
  <si>
    <t>Caging, linear</t>
  </si>
  <si>
    <t>Gravel</t>
  </si>
  <si>
    <t>Cobble</t>
  </si>
  <si>
    <t>Landscape Installation</t>
  </si>
  <si>
    <t>Compost, Bagged</t>
  </si>
  <si>
    <t>Compost, Bulk</t>
  </si>
  <si>
    <t>Concrete</t>
  </si>
  <si>
    <t>Concrete Delivered</t>
  </si>
  <si>
    <t>Concrete, Bagged</t>
  </si>
  <si>
    <t>Controller, Hunter HPC 400</t>
  </si>
  <si>
    <t>Controller, Hunter HPC Module</t>
  </si>
  <si>
    <t>Controller, Hunter Icore Dual (2 wire)</t>
  </si>
  <si>
    <t>Controller, Rainbird ESP ME</t>
  </si>
  <si>
    <t>Controller, Rainbird ESP Module</t>
  </si>
  <si>
    <t>Crimp Rings</t>
  </si>
  <si>
    <t>Crusher Fines</t>
  </si>
  <si>
    <t>DC Solenoid</t>
  </si>
  <si>
    <t>Deciduous Cottonwood, 2.5"</t>
  </si>
  <si>
    <t>Deciduous Cottonwood, 2"</t>
  </si>
  <si>
    <t>Deciduous Cottonwood, 3"</t>
  </si>
  <si>
    <t>Deciduous Shade/Fruit, 2.5"</t>
  </si>
  <si>
    <t>Deciduous Shade/Fruit, 2"</t>
  </si>
  <si>
    <t>Deciduous Shade/Fruit, 3"</t>
  </si>
  <si>
    <t>Decoder, Hunter Icore</t>
  </si>
  <si>
    <t>Decomposed Granite</t>
  </si>
  <si>
    <t>Deer Spray</t>
  </si>
  <si>
    <t>Fees</t>
  </si>
  <si>
    <t>Delivery</t>
  </si>
  <si>
    <t>Delivery, Big Sky</t>
  </si>
  <si>
    <t>Delivery, Bozeman</t>
  </si>
  <si>
    <t>Douglas Fir, 10'</t>
  </si>
  <si>
    <t>Douglas Fir, 6'</t>
  </si>
  <si>
    <t>Douglas Fir, 7'</t>
  </si>
  <si>
    <t>Douglas Fir, 8'</t>
  </si>
  <si>
    <t>Douglas Fir, 9'</t>
  </si>
  <si>
    <t>Drip Emitter</t>
  </si>
  <si>
    <t>Dump</t>
  </si>
  <si>
    <t>Edging</t>
  </si>
  <si>
    <t>Edging, Plastic 20', ea</t>
  </si>
  <si>
    <t>Edging, Steel 5"x1/4", ft</t>
  </si>
  <si>
    <t>Seeding</t>
  </si>
  <si>
    <t>Fertilizer</t>
  </si>
  <si>
    <t>Fertilizer, Liquid</t>
  </si>
  <si>
    <t>Fertilizer, Spikes</t>
  </si>
  <si>
    <t>Maintenance:Lawn Care</t>
  </si>
  <si>
    <t>Materials</t>
  </si>
  <si>
    <t>Herbicide</t>
  </si>
  <si>
    <t>Hose Bib Irrigation Timer</t>
  </si>
  <si>
    <t>Hydromulch, Flexterra, #50 Bale</t>
  </si>
  <si>
    <t>Hydromulch, Wood or Straw, #50 Bale</t>
  </si>
  <si>
    <t>Insecticidal Soap</t>
  </si>
  <si>
    <t>Lawn Service, ea</t>
  </si>
  <si>
    <t>Mileage</t>
  </si>
  <si>
    <t>Miscellaneous, 2M Supply</t>
  </si>
  <si>
    <t>Miscellaneous, Bulk Material</t>
  </si>
  <si>
    <t>Miscellaneous, Irrigation</t>
  </si>
  <si>
    <t>Miscellaneous, Lumber, Kenyon Noble Including Hardware</t>
  </si>
  <si>
    <t>Miscellaneous, Midland Supply</t>
  </si>
  <si>
    <t>Miscellaneous, Mountain Supply</t>
  </si>
  <si>
    <t>Shrubs</t>
  </si>
  <si>
    <t>Mugo Pine, 15 gal/B&amp;B</t>
  </si>
  <si>
    <t>Mulch</t>
  </si>
  <si>
    <t>Mulch, Shredded Cedar, Bagged</t>
  </si>
  <si>
    <t>Mulch, Shredded Cedar, Bulk</t>
  </si>
  <si>
    <t>Mulch, Soil Pep, Bagged</t>
  </si>
  <si>
    <t>Mulch, Soil Pep, Bulk</t>
  </si>
  <si>
    <t>NDS drain box, 12" Includes Grate and Inserts</t>
  </si>
  <si>
    <t>NDS Drain Box, 9" Includes Grate and Inserts</t>
  </si>
  <si>
    <t>Neem Oil, bottle</t>
  </si>
  <si>
    <t>Netafim</t>
  </si>
  <si>
    <t>Node, 1 Station</t>
  </si>
  <si>
    <t>Node, 2 Station</t>
  </si>
  <si>
    <t>Noxious weed control</t>
  </si>
  <si>
    <t>Nozzle, MP Rotator</t>
  </si>
  <si>
    <t>Nozzle, RVAN</t>
  </si>
  <si>
    <t>Paver Edge, ft</t>
  </si>
  <si>
    <t>Paver, 2-3"</t>
  </si>
  <si>
    <t>Peony cages, new</t>
  </si>
  <si>
    <t>Per Diem</t>
  </si>
  <si>
    <t>Per Diem, daily</t>
  </si>
  <si>
    <t>Per Diem, overnight</t>
  </si>
  <si>
    <t>Perennials</t>
  </si>
  <si>
    <t>Perennial, 1 gal</t>
  </si>
  <si>
    <t>Perennial, 2 gal</t>
  </si>
  <si>
    <t>Perennial, 4"</t>
  </si>
  <si>
    <t>Perennial, Peony</t>
  </si>
  <si>
    <t>perennial, Qt</t>
  </si>
  <si>
    <t>Perennial, Woody 1 gal (Kinnick, Mahonia, Rabbitbrush)</t>
  </si>
  <si>
    <t>Pine, Austrian/Scotch/Ponderosa, 10'</t>
  </si>
  <si>
    <t>Pine, Austrian/Scotch/Ponderosa, 12'</t>
  </si>
  <si>
    <t>Pine, Austrian/Scotch/Ponderosa, 6'</t>
  </si>
  <si>
    <t>Pine, Austrian/Scotch/Ponderosa, 8'</t>
  </si>
  <si>
    <t>Plant, Misc</t>
  </si>
  <si>
    <t>Plants, Shrub, Miscellaneous</t>
  </si>
  <si>
    <t>Poly Slip Fix</t>
  </si>
  <si>
    <t>Potting soil, bag</t>
  </si>
  <si>
    <t>Rain Sensor</t>
  </si>
  <si>
    <t>Rainbird ESP-SM3 module</t>
  </si>
  <si>
    <t>Rebar, 1/2"</t>
  </si>
  <si>
    <t>Road Mix, (1" or 3")</t>
  </si>
  <si>
    <t>Root Start</t>
  </si>
  <si>
    <t>Roundup</t>
  </si>
  <si>
    <t>Scree, Flatwillow</t>
  </si>
  <si>
    <t>Seed Mix, Lawn</t>
  </si>
  <si>
    <t>Seed Mix, Native</t>
  </si>
  <si>
    <t>Shrub, Deciduous 15 gal/B&amp;B</t>
  </si>
  <si>
    <t>Shrub, Deciduous 2 gal</t>
  </si>
  <si>
    <t>Shrub, Deciduous 5 gal</t>
  </si>
  <si>
    <t>Shrub, Deciduous 7 gal</t>
  </si>
  <si>
    <t>Shrub, Evergreen 15 gal/B&amp;B</t>
  </si>
  <si>
    <t>Shrub, Evergreen 2 gal</t>
  </si>
  <si>
    <t>Shrub, Evergreen 5 gal</t>
  </si>
  <si>
    <t>Shrub, Evergreen 7/10 gal</t>
  </si>
  <si>
    <t>Shrub, Multistem, 6-8'</t>
  </si>
  <si>
    <t>Spaghetti Pipe</t>
  </si>
  <si>
    <t>Sprinkler, 1804</t>
  </si>
  <si>
    <t>Sprinkler, 1812</t>
  </si>
  <si>
    <t>Sprinkler, 3504</t>
  </si>
  <si>
    <t>Sprinkler, 5012</t>
  </si>
  <si>
    <t>Sprinkler, Rainbird 3500</t>
  </si>
  <si>
    <t>Spruce, 10'</t>
  </si>
  <si>
    <t>Spruce, 12'</t>
  </si>
  <si>
    <t>Spruce, 14'</t>
  </si>
  <si>
    <t>Spruce, 16'</t>
  </si>
  <si>
    <t>Spruce, 18'</t>
  </si>
  <si>
    <t>Spruce, 20'</t>
  </si>
  <si>
    <t>Spruce, 22'</t>
  </si>
  <si>
    <t>Spruce, 4'</t>
  </si>
  <si>
    <t>Spruce, 6'</t>
  </si>
  <si>
    <t>Spruce, 8'</t>
  </si>
  <si>
    <t>Stone, Rock bark or Equivalent</t>
  </si>
  <si>
    <t>Swing Fittings</t>
  </si>
  <si>
    <t>Swing Pipe</t>
  </si>
  <si>
    <t>T-post, 6' Metal</t>
  </si>
  <si>
    <t>Topsoil</t>
  </si>
  <si>
    <t>Treads, Frontier</t>
  </si>
  <si>
    <t>Twine</t>
  </si>
  <si>
    <t>Weedmat Pins</t>
  </si>
  <si>
    <t>Weedmat</t>
  </si>
  <si>
    <t>Wildflower Seed</t>
  </si>
  <si>
    <t>Wire Nuts, 3M (pair)</t>
  </si>
  <si>
    <t>Wire Nuts, Snaplock</t>
  </si>
  <si>
    <t>Wire, 2-wire Irrigation Control</t>
  </si>
  <si>
    <t>Wire, Landscaping Lighting 10 Gauge</t>
  </si>
  <si>
    <t>Wood Tree Post</t>
  </si>
  <si>
    <t>1" Poly Repair Bundle</t>
  </si>
  <si>
    <t>1.25" Poly Repair Bundle</t>
  </si>
  <si>
    <t>1.5" Poly Repair Bundle</t>
  </si>
  <si>
    <t>Wire Splice Bundle (7 Strand)</t>
  </si>
  <si>
    <t>Wire Splice Bundle (10 Strand)</t>
  </si>
  <si>
    <t>Wire Splice Bundle (13 Strand)</t>
  </si>
  <si>
    <t>Option 1 name</t>
  </si>
  <si>
    <t>Option 1 value</t>
  </si>
  <si>
    <t>Option 2 name</t>
  </si>
  <si>
    <t>Option 2 value</t>
  </si>
  <si>
    <t>Option 3 name</t>
  </si>
  <si>
    <t>Option 3 value</t>
  </si>
  <si>
    <t>Option 4 name</t>
  </si>
  <si>
    <t>Option 4 value</t>
  </si>
  <si>
    <t>Option 5 name</t>
  </si>
  <si>
    <t>Option 5 value</t>
  </si>
  <si>
    <t>Install Hourly labor</t>
  </si>
  <si>
    <t>Service</t>
  </si>
  <si>
    <t>Labor</t>
  </si>
  <si>
    <t>Irrigation Service Call, hourly-BS</t>
  </si>
  <si>
    <t>Irrigation Service Call, hourly-Bzn</t>
  </si>
  <si>
    <t>Irrigation Techinician Hourly labor</t>
  </si>
  <si>
    <t>Irrigation Technician Hourly Labor</t>
  </si>
  <si>
    <t>Maintenance Hourly Labor - BIG SKY</t>
  </si>
  <si>
    <t>Maintenance Hourly Labor - TOWN</t>
  </si>
  <si>
    <t>Mow Hourly Rate - BIG SKY</t>
  </si>
  <si>
    <t>Mow Hourly Rate - TOWN</t>
  </si>
  <si>
    <t>Winterization-Bzn</t>
  </si>
  <si>
    <t>Amp Conveyor Rental/ Week</t>
  </si>
  <si>
    <t>Equipment</t>
  </si>
  <si>
    <t>AMP Shooter Truck, hourly</t>
  </si>
  <si>
    <t>AMP Shooter Truck</t>
  </si>
  <si>
    <t>Auger Daily Fee</t>
  </si>
  <si>
    <t>Auger</t>
  </si>
  <si>
    <t>Case Loader Daily Fee</t>
  </si>
  <si>
    <t>Case Loader</t>
  </si>
  <si>
    <t>Concrete Mixer Daily Fee</t>
  </si>
  <si>
    <t>Concrete Mixer</t>
  </si>
  <si>
    <t>Crew Truck Daily Fee For Estimates</t>
  </si>
  <si>
    <t>Demo saw daily fee</t>
  </si>
  <si>
    <t>Dingo Daily Fee</t>
  </si>
  <si>
    <t>Dingo</t>
  </si>
  <si>
    <t>Dump Truck, Hourly</t>
  </si>
  <si>
    <t>Dump Truck</t>
  </si>
  <si>
    <t>Excavator, 20 ton Daily Fee</t>
  </si>
  <si>
    <t>Excavator, 20 ton</t>
  </si>
  <si>
    <t>Excavator-Mini Daily Fee</t>
  </si>
  <si>
    <t>Excavator-Mini</t>
  </si>
  <si>
    <t>Face Trencher Daily Fee</t>
  </si>
  <si>
    <t>Face Trencher</t>
  </si>
  <si>
    <t>Flatbed Trailer Daily Fee</t>
  </si>
  <si>
    <t>Flatbed Trailer</t>
  </si>
  <si>
    <t>Hydroseeder Daily Fee</t>
  </si>
  <si>
    <t>Hydroseeder</t>
  </si>
  <si>
    <t>Jumping jack compactor Daily Fee</t>
  </si>
  <si>
    <t>Jumping jack compactor</t>
  </si>
  <si>
    <t>Landscape Rake Daily Fee</t>
  </si>
  <si>
    <t>Landscape Rake</t>
  </si>
  <si>
    <t>Laser Level Daily Fee</t>
  </si>
  <si>
    <t>Laser Level</t>
  </si>
  <si>
    <t>Micro Excavator Daily Fee</t>
  </si>
  <si>
    <t>Micro Excavator</t>
  </si>
  <si>
    <t>Plate compactor Daily Fee</t>
  </si>
  <si>
    <t>Plate compactor</t>
  </si>
  <si>
    <t>Pneumatic post pounder Daily Fee</t>
  </si>
  <si>
    <t>Pneumatic post pounder</t>
  </si>
  <si>
    <t>Power Washer Daily Fee</t>
  </si>
  <si>
    <t>Power Washer</t>
  </si>
  <si>
    <t>Skid Steer with Seeder Daily Fee</t>
  </si>
  <si>
    <t>Skid Steer with Seeder</t>
  </si>
  <si>
    <t>Soil Screen Daily Fee</t>
  </si>
  <si>
    <t>Soil Screen</t>
  </si>
  <si>
    <t>Tiller Daily Fee</t>
  </si>
  <si>
    <t>Tiller</t>
  </si>
  <si>
    <t>Tracked Skid Steer Daily Fee</t>
  </si>
  <si>
    <t>Tracked Skid Steer</t>
  </si>
  <si>
    <t>Weed whacker</t>
  </si>
  <si>
    <t>Welding Kit Daily Fee</t>
  </si>
  <si>
    <t>Item</t>
  </si>
  <si>
    <t>Part Number (Cell B)</t>
  </si>
  <si>
    <t>Quantity (Cell C)</t>
  </si>
  <si>
    <t>Unit Price (Cell D)</t>
  </si>
  <si>
    <t>Calculated Cost (Cell E)</t>
  </si>
  <si>
    <t>**1'' Poly Repair Bundle**</t>
  </si>
  <si>
    <t>Ft 1'' Poly</t>
  </si>
  <si>
    <t>**1.25" Poly Repair Bundle**</t>
  </si>
  <si>
    <t>1.25" Fittings</t>
  </si>
  <si>
    <t>1.25" Crimp Rings</t>
  </si>
  <si>
    <t>Ft 1.25" Poly</t>
  </si>
  <si>
    <t>**1.5" Poly Repair Bundle**</t>
  </si>
  <si>
    <t>1.5" Fittings</t>
  </si>
  <si>
    <t>1.5" Crimp Rings</t>
  </si>
  <si>
    <t>Ft 1.5" Poly</t>
  </si>
  <si>
    <t>**Wire splice bundle (7 Strand)**</t>
  </si>
  <si>
    <t>Snap Locks</t>
  </si>
  <si>
    <t>Ft. 7 strand wire</t>
  </si>
  <si>
    <t>6" Round Valve box</t>
  </si>
  <si>
    <t>**Wire Splice Bundle (10 Strand)**</t>
  </si>
  <si>
    <t>Ft. 10 Strand wire</t>
  </si>
  <si>
    <t>**Wire Splice Bundle ( 13 Strand)**</t>
  </si>
  <si>
    <t>Ft. 13 Strand wire</t>
  </si>
  <si>
    <t>6" Round Valve Box</t>
  </si>
  <si>
    <t>PLEASE DELETE</t>
  </si>
  <si>
    <t>DO NOT USE</t>
  </si>
  <si>
    <t>Annual Flowers, miscellaneous, ea</t>
  </si>
  <si>
    <t>Bulk, misc</t>
  </si>
  <si>
    <t>Deer Spray, Big Sky, ea</t>
  </si>
  <si>
    <t>Deer Spray, Bozeman, ea</t>
  </si>
  <si>
    <t>Dump fee, ea</t>
  </si>
  <si>
    <t>Weed Mat Pins, 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</si>
</sst>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/dd/yyyy"/>
    <numFmt numFmtId="166" formatCode="m/d/yyyy"/>
    <numFmt numFmtId="167" formatCode="m/d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434343"/>
      <name val="Roboto"/>
    </font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3" numFmtId="9" xfId="0" applyAlignment="1" applyFont="1" applyNumberFormat="1">
      <alignment horizontal="right" readingOrder="0" shrinkToFit="0" vertical="bottom" wrapText="0"/>
    </xf>
    <xf borderId="1" fillId="2" fontId="4" numFmtId="0" xfId="0" applyAlignment="1" applyBorder="1" applyFill="1" applyFont="1">
      <alignment horizontal="right" shrinkToFit="0" vertical="center" wrapText="0"/>
    </xf>
    <xf borderId="2" fillId="3" fontId="4" numFmtId="0" xfId="0" applyAlignment="1" applyBorder="1" applyFill="1" applyFont="1">
      <alignment horizontal="right" shrinkToFit="0" vertical="center" wrapText="0"/>
    </xf>
    <xf borderId="2" fillId="3" fontId="4" numFmtId="0" xfId="0" applyAlignment="1" applyBorder="1" applyFont="1">
      <alignment horizontal="right" readingOrder="0" shrinkToFit="0" vertical="center" wrapText="0"/>
    </xf>
    <xf borderId="0" fillId="0" fontId="3" numFmtId="167" xfId="0" applyAlignment="1" applyFont="1" applyNumberFormat="1">
      <alignment horizontal="right" readingOrder="0" shrinkToFit="0" vertical="bottom" wrapText="0"/>
    </xf>
    <xf borderId="2" fillId="3" fontId="4" numFmtId="164" xfId="0" applyAlignment="1" applyBorder="1" applyFont="1" applyNumberFormat="1">
      <alignment horizontal="right" shrinkToFit="0" vertical="center" wrapText="0"/>
    </xf>
    <xf borderId="1" fillId="2" fontId="4" numFmtId="164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3" fillId="2" fontId="5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shrinkToFit="0" vertical="center" wrapText="0"/>
    </xf>
    <xf borderId="1" fillId="2" fontId="6" numFmtId="164" xfId="0" applyAlignment="1" applyBorder="1" applyFont="1" applyNumberFormat="1">
      <alignment shrinkToFit="0" vertical="center" wrapText="0"/>
    </xf>
    <xf borderId="1" fillId="2" fontId="5" numFmtId="0" xfId="0" applyAlignment="1" applyBorder="1" applyFont="1">
      <alignment shrinkToFit="0" vertical="bottom" wrapText="0"/>
    </xf>
    <xf borderId="4" fillId="2" fontId="6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bottom" wrapText="0"/>
    </xf>
    <xf borderId="2" fillId="3" fontId="6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3" fontId="6" numFmtId="164" xfId="0" applyAlignment="1" applyBorder="1" applyFont="1" applyNumberFormat="1">
      <alignment shrinkToFit="0" vertical="center" wrapText="0"/>
    </xf>
    <xf borderId="2" fillId="3" fontId="5" numFmtId="0" xfId="0" applyAlignment="1" applyBorder="1" applyFont="1">
      <alignment shrinkToFit="0" vertical="bottom" wrapText="0"/>
    </xf>
    <xf borderId="6" fillId="3" fontId="6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9" xfId="0" applyFont="1" applyNumberFormat="1"/>
    <xf borderId="0" fillId="0" fontId="2" numFmtId="167" xfId="0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0" fontId="8" numFmtId="0" xfId="0" applyAlignment="1" applyFont="1">
      <alignment horizontal="right" readingOrder="0" shrinkToFit="0" vertical="center" wrapText="0"/>
    </xf>
    <xf borderId="0" fillId="4" fontId="1" numFmtId="0" xfId="0" applyAlignment="1" applyFill="1" applyFont="1">
      <alignment readingOrder="0" shrinkToFit="0" vertical="top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9" xfId="0" applyAlignment="1" applyFont="1" applyNumberFormat="1">
      <alignment horizontal="right" readingOrder="0"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40">
    <tableStyle count="4" pivot="0" name="MasterMateri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B Import materi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QB Import Equipment and Labor-style">
      <tableStyleElement dxfId="2" type="firstRowStripe"/>
      <tableStyleElement dxfId="3" type="secondRowStripe"/>
    </tableStyle>
    <tableStyle count="4" pivot="0" name="Irrigation Bundles 2026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MasterMaint Pri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asterMaint Prices-style 2">
      <tableStyleElement dxfId="3" type="firstRowStripe"/>
      <tableStyleElement dxfId="2" type="secondRowStripe"/>
    </tableStyle>
    <tableStyle count="2" pivot="0" name="MasterMaint Prices-style 3">
      <tableStyleElement dxfId="2" type="firstRowStripe"/>
      <tableStyleElement dxfId="3" type="secondRowStripe"/>
    </tableStyle>
    <tableStyle count="2" pivot="0" name="MasterMaint Prices-style 4">
      <tableStyleElement dxfId="3" type="firstRowStripe"/>
      <tableStyleElement dxfId="2" type="secondRowStripe"/>
    </tableStyle>
    <tableStyle count="2" pivot="0" name="MasterMaint Prices-style 5">
      <tableStyleElement dxfId="2" type="firstRowStripe"/>
      <tableStyleElement dxfId="3" type="secondRowStripe"/>
    </tableStyle>
    <tableStyle count="2" pivot="0" name="MasterMaint Prices-style 6">
      <tableStyleElement dxfId="3" type="firstRowStripe"/>
      <tableStyleElement dxfId="2" type="secondRowStripe"/>
    </tableStyle>
    <tableStyle count="2" pivot="0" name="MasterMaint Prices-style 7">
      <tableStyleElement dxfId="3" type="firstRowStripe"/>
      <tableStyleElement dxfId="2" type="secondRowStripe"/>
    </tableStyle>
    <tableStyle count="2" pivot="0" name="MasterMaint Prices-style 8">
      <tableStyleElement dxfId="3" type="firstRowStripe"/>
      <tableStyleElement dxfId="2" type="secondRowStripe"/>
    </tableStyle>
    <tableStyle count="2" pivot="0" name="MasterMaint Prices-style 9">
      <tableStyleElement dxfId="2" type="firstRowStripe"/>
      <tableStyleElement dxfId="3" type="secondRowStripe"/>
    </tableStyle>
    <tableStyle count="2" pivot="0" name="MasterMaint Prices-style 10">
      <tableStyleElement dxfId="2" type="firstRowStripe"/>
      <tableStyleElement dxfId="3" type="secondRowStripe"/>
    </tableStyle>
    <tableStyle count="2" pivot="0" name="MasterMaint Prices-style 11">
      <tableStyleElement dxfId="2" type="firstRowStripe"/>
      <tableStyleElement dxfId="3" type="secondRowStripe"/>
    </tableStyle>
    <tableStyle count="2" pivot="0" name="MasterMaint Prices-style 12">
      <tableStyleElement dxfId="3" type="firstRowStripe"/>
      <tableStyleElement dxfId="2" type="secondRowStripe"/>
    </tableStyle>
    <tableStyle count="2" pivot="0" name="MasterMaint Prices-style 13">
      <tableStyleElement dxfId="2" type="firstRowStripe"/>
      <tableStyleElement dxfId="3" type="secondRowStripe"/>
    </tableStyle>
    <tableStyle count="2" pivot="0" name="MasterMaint Prices-style 14">
      <tableStyleElement dxfId="2" type="firstRowStripe"/>
      <tableStyleElement dxfId="3" type="secondRowStripe"/>
    </tableStyle>
    <tableStyle count="2" pivot="0" name="MasterMaint Prices-style 15">
      <tableStyleElement dxfId="2" type="firstRowStripe"/>
      <tableStyleElement dxfId="3" type="secondRowStripe"/>
    </tableStyle>
    <tableStyle count="2" pivot="0" name="MasterMaint Prices-style 16">
      <tableStyleElement dxfId="3" type="firstRowStripe"/>
      <tableStyleElement dxfId="2" type="secondRowStripe"/>
    </tableStyle>
    <tableStyle count="2" pivot="0" name="MasterMaint Prices-style 17">
      <tableStyleElement dxfId="3" type="firstRowStripe"/>
      <tableStyleElement dxfId="2" type="secondRowStripe"/>
    </tableStyle>
    <tableStyle count="2" pivot="0" name="MasterMaint Prices-style 18">
      <tableStyleElement dxfId="3" type="firstRowStripe"/>
      <tableStyleElement dxfId="2" type="secondRowStripe"/>
    </tableStyle>
    <tableStyle count="2" pivot="0" name="MasterMaint Prices-style 19">
      <tableStyleElement dxfId="3" type="firstRowStripe"/>
      <tableStyleElement dxfId="2" type="secondRowStripe"/>
    </tableStyle>
    <tableStyle count="2" pivot="0" name="MasterMaint Prices-style 20">
      <tableStyleElement dxfId="2" type="firstRowStripe"/>
      <tableStyleElement dxfId="3" type="secondRowStripe"/>
    </tableStyle>
    <tableStyle count="2" pivot="0" name="MasterMaint Prices-style 21">
      <tableStyleElement dxfId="2" type="firstRowStripe"/>
      <tableStyleElement dxfId="3" type="secondRowStripe"/>
    </tableStyle>
    <tableStyle count="2" pivot="0" name="MasterMaint Prices-style 22">
      <tableStyleElement dxfId="3" type="firstRowStripe"/>
      <tableStyleElement dxfId="2" type="secondRowStripe"/>
    </tableStyle>
    <tableStyle count="2" pivot="0" name="MasterMaint Prices-style 23">
      <tableStyleElement dxfId="3" type="firstRowStripe"/>
      <tableStyleElement dxfId="2" type="secondRowStripe"/>
    </tableStyle>
    <tableStyle count="2" pivot="0" name="MasterMaint Prices-style 24">
      <tableStyleElement dxfId="3" type="firstRowStripe"/>
      <tableStyleElement dxfId="2" type="secondRowStripe"/>
    </tableStyle>
    <tableStyle count="2" pivot="0" name="MasterMaint Prices-style 25">
      <tableStyleElement dxfId="2" type="firstRowStripe"/>
      <tableStyleElement dxfId="3" type="secondRowStripe"/>
    </tableStyle>
    <tableStyle count="2" pivot="0" name="MasterMaint Prices-style 26">
      <tableStyleElement dxfId="3" type="firstRowStripe"/>
      <tableStyleElement dxfId="2" type="secondRowStripe"/>
    </tableStyle>
    <tableStyle count="2" pivot="0" name="MasterMaint Prices-style 27">
      <tableStyleElement dxfId="3" type="firstRowStripe"/>
      <tableStyleElement dxfId="2" type="secondRowStripe"/>
    </tableStyle>
    <tableStyle count="2" pivot="0" name="MasterMaint Prices-style 28">
      <tableStyleElement dxfId="2" type="firstRowStripe"/>
      <tableStyleElement dxfId="3" type="secondRowStripe"/>
    </tableStyle>
    <tableStyle count="2" pivot="0" name="MasterMaint Prices-style 29">
      <tableStyleElement dxfId="2" type="firstRowStripe"/>
      <tableStyleElement dxfId="3" type="secondRowStripe"/>
    </tableStyle>
    <tableStyle count="2" pivot="0" name="MasterMaint Prices-style 30">
      <tableStyleElement dxfId="3" type="firstRowStripe"/>
      <tableStyleElement dxfId="2" type="secondRowStripe"/>
    </tableStyle>
    <tableStyle count="2" pivot="0" name="MasterMaint Prices-style 31">
      <tableStyleElement dxfId="2" type="firstRowStripe"/>
      <tableStyleElement dxfId="3" type="secondRowStripe"/>
    </tableStyle>
    <tableStyle count="2" pivot="0" name="MasterMaint Prices-style 32">
      <tableStyleElement dxfId="3" type="firstRowStripe"/>
      <tableStyleElement dxfId="2" type="secondRowStripe"/>
    </tableStyle>
    <tableStyle count="2" pivot="0" name="MasterMaint Prices-style 33">
      <tableStyleElement dxfId="3" type="firstRowStripe"/>
      <tableStyleElement dxfId="2" type="secondRowStripe"/>
    </tableStyle>
    <tableStyle count="2" pivot="0" name="MasterMaint Prices-style 34">
      <tableStyleElement dxfId="2" type="firstRowStripe"/>
      <tableStyleElement dxfId="3" type="secondRowStripe"/>
    </tableStyle>
    <tableStyle count="2" pivot="0" name="MasterMaint Prices-style 35">
      <tableStyleElement dxfId="2" type="firstRowStripe"/>
      <tableStyleElement dxfId="3" type="secondRowStripe"/>
    </tableStyle>
    <tableStyle count="2" pivot="0" name="MasterMaint Prices-style 36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P240" displayName="Table1" name="Table1" id="1">
  <tableColumns count="16">
    <tableColumn name="Name" id="1"/>
    <tableColumn name="ID" id="2"/>
    <tableColumn name="Type" id="3"/>
    <tableColumn name="Size" id="4"/>
    <tableColumn name="Description" id="5"/>
    <tableColumn name="Internal" id="6"/>
    <tableColumn name="Units" id="7"/>
    <tableColumn name="Round" id="8"/>
    <tableColumn name="Cost" id="9"/>
    <tableColumn name="Price" id="10"/>
    <tableColumn name="FixedPrice" id="11"/>
    <tableColumn name="Profit" id="12"/>
    <tableColumn name="Ship" id="13"/>
    <tableColumn name="Warranty" id="14"/>
    <tableColumn name="LastEditDate" id="15"/>
    <tableColumn name="QBO Sheet Verification" id="16"/>
  </tableColumns>
  <tableStyleInfo name="MasterMaterials-style" showColumnStripes="0" showFirstColumn="1" showLastColumn="1" showRowStripes="1"/>
</table>
</file>

<file path=xl/tables/table2.xml><?xml version="1.0" encoding="utf-8"?>
<table xmlns="http://schemas.openxmlformats.org/spreadsheetml/2006/main" ref="A1:P314" displayName="Table2" name="Table2" id="2">
  <tableColumns count="16">
    <tableColumn name="Product/Service Name" id="1"/>
    <tableColumn name="Variant Name" id="2"/>
    <tableColumn name="Quantity on hand" id="3"/>
    <tableColumn name="Item type" id="4"/>
    <tableColumn name="Single,parent or variant?" id="5"/>
    <tableColumn name="Category" id="6"/>
    <tableColumn name="SKU" id="7"/>
    <tableColumn name="Price" id="8"/>
    <tableColumn name="Cost" id="9"/>
    <tableColumn name="Income Account" id="10"/>
    <tableColumn name="Expense Account" id="11"/>
    <tableColumn name="Inventory asset account" id="12"/>
    <tableColumn name="Sales Description" id="13"/>
    <tableColumn name="Purchase Description" id="14"/>
    <tableColumn name="Reorder Point" id="15"/>
    <tableColumn name="Column 1" id="16"/>
  </tableColumns>
  <tableStyleInfo name="QB Import materials-style" showColumnStripes="0" showFirstColumn="1" showLastColumn="1" showRowStripes="1"/>
</table>
</file>

<file path=xl/tables/table3.xml><?xml version="1.0" encoding="utf-8"?>
<table xmlns="http://schemas.openxmlformats.org/spreadsheetml/2006/main" headerRowCount="0" ref="A2:Y38" displayName="Table_1" name="Table_1" id="3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QB Import Equipment and Labor-style" showColumnStripes="0" showFirstColumn="1" showLastColumn="1" showRowStripes="1"/>
</table>
</file>

<file path=xl/tables/table4.xml><?xml version="1.0" encoding="utf-8"?>
<table xmlns="http://schemas.openxmlformats.org/spreadsheetml/2006/main" ref="A1:E25" displayName="Irrigation_Bundles" name="Irrigation_Bundles" id="4">
  <tableColumns count="5">
    <tableColumn name="Item" id="1"/>
    <tableColumn name="Part Number (Cell B)" id="2"/>
    <tableColumn name="Quantity (Cell C)" id="3"/>
    <tableColumn name="Unit Price (Cell D)" id="4"/>
    <tableColumn name="Calculated Cost (Cell E)" id="5"/>
  </tableColumns>
  <tableStyleInfo name="Irrigation Bundles 2026-style" showColumnStripes="0" showFirstColumn="1" showLastColumn="1" showRowStripes="1"/>
</table>
</file>

<file path=xl/tables/table5.xml><?xml version="1.0" encoding="utf-8"?>
<table xmlns="http://schemas.openxmlformats.org/spreadsheetml/2006/main" headerRowCount="0" ref="A2:O2" displayName="Master_Maint_Prices" name="Master_Maint_Prices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:O3" displayName="Table_2" name="Table_2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" showColumnStripes="0" showFirstColumn="1" showLastColumn="1" showRowStripes="1"/>
</table>
</file>

<file path=xl/tables/table7.xml><?xml version="1.0" encoding="utf-8"?>
<table xmlns="http://schemas.openxmlformats.org/spreadsheetml/2006/main" headerRowCount="0" ref="A4:O7" displayName="Table_3" name="Table_3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3" showColumnStripes="0" showFirstColumn="1" showLastColumn="1" showRowStripes="1"/>
</table>
</file>

<file path=xl/tables/table8.xml><?xml version="1.0" encoding="utf-8"?>
<table xmlns="http://schemas.openxmlformats.org/spreadsheetml/2006/main" headerRowCount="0" ref="A8:O8" displayName="Table_4" name="Table_4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4" showColumnStripes="0" showFirstColumn="1" showLastColumn="1" showRowStripes="1"/>
</table>
</file>

<file path=xl/tables/table9.xml><?xml version="1.0" encoding="utf-8"?>
<table xmlns="http://schemas.openxmlformats.org/spreadsheetml/2006/main" headerRowCount="0" ref="A9:O9" displayName="Table_5" name="Table_5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5" showColumnStripes="0" showFirstColumn="1" showLastColumn="1" showRowStripes="1"/>
</table>
</file>

<file path=xl/tables/table10.xml><?xml version="1.0" encoding="utf-8"?>
<table xmlns="http://schemas.openxmlformats.org/spreadsheetml/2006/main" headerRowCount="0" ref="A10:O10" displayName="Table_6" name="Table_6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6" showColumnStripes="0" showFirstColumn="1" showLastColumn="1" showRowStripes="1"/>
</table>
</file>

<file path=xl/tables/table11.xml><?xml version="1.0" encoding="utf-8"?>
<table xmlns="http://schemas.openxmlformats.org/spreadsheetml/2006/main" headerRowCount="0" ref="A11:O12" displayName="Table_7" name="Table_7" id="1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7" showColumnStripes="0" showFirstColumn="1" showLastColumn="1" showRowStripes="1"/>
</table>
</file>

<file path=xl/tables/table12.xml><?xml version="1.0" encoding="utf-8"?>
<table xmlns="http://schemas.openxmlformats.org/spreadsheetml/2006/main" headerRowCount="0" ref="A13:O16" displayName="Table_8" name="Table_8" id="1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8" showColumnStripes="0" showFirstColumn="1" showLastColumn="1" showRowStripes="1"/>
</table>
</file>

<file path=xl/tables/table13.xml><?xml version="1.0" encoding="utf-8"?>
<table xmlns="http://schemas.openxmlformats.org/spreadsheetml/2006/main" headerRowCount="0" ref="A17:O18" displayName="Table_9" name="Table_9" id="1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9" showColumnStripes="0" showFirstColumn="1" showLastColumn="1" showRowStripes="1"/>
</table>
</file>

<file path=xl/tables/table14.xml><?xml version="1.0" encoding="utf-8"?>
<table xmlns="http://schemas.openxmlformats.org/spreadsheetml/2006/main" headerRowCount="0" ref="A19:O19" displayName="Table_10" name="Table_10" id="1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0" showColumnStripes="0" showFirstColumn="1" showLastColumn="1" showRowStripes="1"/>
</table>
</file>

<file path=xl/tables/table15.xml><?xml version="1.0" encoding="utf-8"?>
<table xmlns="http://schemas.openxmlformats.org/spreadsheetml/2006/main" headerRowCount="0" ref="A20:O20" displayName="Table_11" name="Table_11" id="1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1" showColumnStripes="0" showFirstColumn="1" showLastColumn="1" showRowStripes="1"/>
</table>
</file>

<file path=xl/tables/table16.xml><?xml version="1.0" encoding="utf-8"?>
<table xmlns="http://schemas.openxmlformats.org/spreadsheetml/2006/main" headerRowCount="0" ref="A21:O21" displayName="Table_12" name="Table_12" id="1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2" showColumnStripes="0" showFirstColumn="1" showLastColumn="1" showRowStripes="1"/>
</table>
</file>

<file path=xl/tables/table17.xml><?xml version="1.0" encoding="utf-8"?>
<table xmlns="http://schemas.openxmlformats.org/spreadsheetml/2006/main" headerRowCount="0" ref="A22:O24" displayName="Table_13" name="Table_13" id="1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3" showColumnStripes="0" showFirstColumn="1" showLastColumn="1" showRowStripes="1"/>
</table>
</file>

<file path=xl/tables/table18.xml><?xml version="1.0" encoding="utf-8"?>
<table xmlns="http://schemas.openxmlformats.org/spreadsheetml/2006/main" headerRowCount="0" ref="A25:O25" displayName="Table_14" name="Table_14" id="1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4" showColumnStripes="0" showFirstColumn="1" showLastColumn="1" showRowStripes="1"/>
</table>
</file>

<file path=xl/tables/table19.xml><?xml version="1.0" encoding="utf-8"?>
<table xmlns="http://schemas.openxmlformats.org/spreadsheetml/2006/main" headerRowCount="0" ref="A26:O27" displayName="Table_15" name="Table_15" id="1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5" showColumnStripes="0" showFirstColumn="1" showLastColumn="1" showRowStripes="1"/>
</table>
</file>

<file path=xl/tables/table20.xml><?xml version="1.0" encoding="utf-8"?>
<table xmlns="http://schemas.openxmlformats.org/spreadsheetml/2006/main" headerRowCount="0" ref="A28:O31" displayName="Table_16" name="Table_16" id="2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6" showColumnStripes="0" showFirstColumn="1" showLastColumn="1" showRowStripes="1"/>
</table>
</file>

<file path=xl/tables/table21.xml><?xml version="1.0" encoding="utf-8"?>
<table xmlns="http://schemas.openxmlformats.org/spreadsheetml/2006/main" headerRowCount="0" ref="A32:O33" displayName="Table_17" name="Table_17" id="2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7" showColumnStripes="0" showFirstColumn="1" showLastColumn="1" showRowStripes="1"/>
</table>
</file>

<file path=xl/tables/table22.xml><?xml version="1.0" encoding="utf-8"?>
<table xmlns="http://schemas.openxmlformats.org/spreadsheetml/2006/main" headerRowCount="0" ref="A34:O34" displayName="Table_18" name="Table_18" id="2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8" showColumnStripes="0" showFirstColumn="1" showLastColumn="1" showRowStripes="1"/>
</table>
</file>

<file path=xl/tables/table23.xml><?xml version="1.0" encoding="utf-8"?>
<table xmlns="http://schemas.openxmlformats.org/spreadsheetml/2006/main" headerRowCount="0" ref="A35:O35" displayName="Table_19" name="Table_19" id="2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19" showColumnStripes="0" showFirstColumn="1" showLastColumn="1" showRowStripes="1"/>
</table>
</file>

<file path=xl/tables/table24.xml><?xml version="1.0" encoding="utf-8"?>
<table xmlns="http://schemas.openxmlformats.org/spreadsheetml/2006/main" headerRowCount="0" ref="A36:O36" displayName="Table_20" name="Table_20" id="2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0" showColumnStripes="0" showFirstColumn="1" showLastColumn="1" showRowStripes="1"/>
</table>
</file>

<file path=xl/tables/table25.xml><?xml version="1.0" encoding="utf-8"?>
<table xmlns="http://schemas.openxmlformats.org/spreadsheetml/2006/main" headerRowCount="0" ref="A37:O44" displayName="Table_21" name="Table_21" id="2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1" showColumnStripes="0" showFirstColumn="1" showLastColumn="1" showRowStripes="1"/>
</table>
</file>

<file path=xl/tables/table26.xml><?xml version="1.0" encoding="utf-8"?>
<table xmlns="http://schemas.openxmlformats.org/spreadsheetml/2006/main" headerRowCount="0" ref="A45:O45" displayName="Table_22" name="Table_22" id="2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2" showColumnStripes="0" showFirstColumn="1" showLastColumn="1" showRowStripes="1"/>
</table>
</file>

<file path=xl/tables/table27.xml><?xml version="1.0" encoding="utf-8"?>
<table xmlns="http://schemas.openxmlformats.org/spreadsheetml/2006/main" headerRowCount="0" ref="A46:O47" displayName="Table_23" name="Table_23" id="2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3" showColumnStripes="0" showFirstColumn="1" showLastColumn="1" showRowStripes="1"/>
</table>
</file>

<file path=xl/tables/table28.xml><?xml version="1.0" encoding="utf-8"?>
<table xmlns="http://schemas.openxmlformats.org/spreadsheetml/2006/main" headerRowCount="0" ref="A48:O48" displayName="Table_24" name="Table_24" id="2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4" showColumnStripes="0" showFirstColumn="1" showLastColumn="1" showRowStripes="1"/>
</table>
</file>

<file path=xl/tables/table29.xml><?xml version="1.0" encoding="utf-8"?>
<table xmlns="http://schemas.openxmlformats.org/spreadsheetml/2006/main" headerRowCount="0" ref="A49:O49" displayName="Table_25" name="Table_25" id="2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5" showColumnStripes="0" showFirstColumn="1" showLastColumn="1" showRowStripes="1"/>
</table>
</file>

<file path=xl/tables/table30.xml><?xml version="1.0" encoding="utf-8"?>
<table xmlns="http://schemas.openxmlformats.org/spreadsheetml/2006/main" headerRowCount="0" ref="A50:O50" displayName="Table_26" name="Table_26" id="3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6" showColumnStripes="0" showFirstColumn="1" showLastColumn="1" showRowStripes="1"/>
</table>
</file>

<file path=xl/tables/table31.xml><?xml version="1.0" encoding="utf-8"?>
<table xmlns="http://schemas.openxmlformats.org/spreadsheetml/2006/main" headerRowCount="0" ref="A51:O52" displayName="Table_27" name="Table_27" id="3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7" showColumnStripes="0" showFirstColumn="1" showLastColumn="1" showRowStripes="1"/>
</table>
</file>

<file path=xl/tables/table32.xml><?xml version="1.0" encoding="utf-8"?>
<table xmlns="http://schemas.openxmlformats.org/spreadsheetml/2006/main" headerRowCount="0" ref="A53:O53" displayName="Table_28" name="Table_28" id="3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8" showColumnStripes="0" showFirstColumn="1" showLastColumn="1" showRowStripes="1"/>
</table>
</file>

<file path=xl/tables/table33.xml><?xml version="1.0" encoding="utf-8"?>
<table xmlns="http://schemas.openxmlformats.org/spreadsheetml/2006/main" headerRowCount="0" ref="A54:O54" displayName="Table_29" name="Table_29" id="3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29" showColumnStripes="0" showFirstColumn="1" showLastColumn="1" showRowStripes="1"/>
</table>
</file>

<file path=xl/tables/table34.xml><?xml version="1.0" encoding="utf-8"?>
<table xmlns="http://schemas.openxmlformats.org/spreadsheetml/2006/main" headerRowCount="0" ref="A55:O56" displayName="Table_30" name="Table_30" id="3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30" showColumnStripes="0" showFirstColumn="1" showLastColumn="1" showRowStripes="1"/>
</table>
</file>

<file path=xl/tables/table35.xml><?xml version="1.0" encoding="utf-8"?>
<table xmlns="http://schemas.openxmlformats.org/spreadsheetml/2006/main" headerRowCount="0" ref="A58:O58" displayName="Table_31" name="Table_31" id="3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31" showColumnStripes="0" showFirstColumn="1" showLastColumn="1" showRowStripes="1"/>
</table>
</file>

<file path=xl/tables/table36.xml><?xml version="1.0" encoding="utf-8"?>
<table xmlns="http://schemas.openxmlformats.org/spreadsheetml/2006/main" headerRowCount="0" ref="A59:O59" displayName="Table_32" name="Table_32" id="3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32" showColumnStripes="0" showFirstColumn="1" showLastColumn="1" showRowStripes="1"/>
</table>
</file>

<file path=xl/tables/table37.xml><?xml version="1.0" encoding="utf-8"?>
<table xmlns="http://schemas.openxmlformats.org/spreadsheetml/2006/main" headerRowCount="0" ref="A60:O60" displayName="Table_33" name="Table_33" id="3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33" showColumnStripes="0" showFirstColumn="1" showLastColumn="1" showRowStripes="1"/>
</table>
</file>

<file path=xl/tables/table38.xml><?xml version="1.0" encoding="utf-8"?>
<table xmlns="http://schemas.openxmlformats.org/spreadsheetml/2006/main" headerRowCount="0" ref="A61:O61" displayName="Table_34" name="Table_34" id="3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34" showColumnStripes="0" showFirstColumn="1" showLastColumn="1" showRowStripes="1"/>
</table>
</file>

<file path=xl/tables/table39.xml><?xml version="1.0" encoding="utf-8"?>
<table xmlns="http://schemas.openxmlformats.org/spreadsheetml/2006/main" headerRowCount="0" ref="A62:O62" displayName="Table_35" name="Table_35" id="3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35" showColumnStripes="0" showFirstColumn="1" showLastColumn="1" showRowStripes="1"/>
</table>
</file>

<file path=xl/tables/table40.xml><?xml version="1.0" encoding="utf-8"?>
<table xmlns="http://schemas.openxmlformats.org/spreadsheetml/2006/main" headerRowCount="0" ref="A63:O63" displayName="Table_36" name="Table_36" id="4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MasterMaint Prices-style 3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7.xml"/><Relationship Id="rId62" Type="http://schemas.openxmlformats.org/officeDocument/2006/relationships/table" Target="../tables/table29.xml"/><Relationship Id="rId61" Type="http://schemas.openxmlformats.org/officeDocument/2006/relationships/table" Target="../tables/table28.xml"/><Relationship Id="rId42" Type="http://schemas.openxmlformats.org/officeDocument/2006/relationships/table" Target="../tables/table9.xml"/><Relationship Id="rId64" Type="http://schemas.openxmlformats.org/officeDocument/2006/relationships/table" Target="../tables/table31.xml"/><Relationship Id="rId41" Type="http://schemas.openxmlformats.org/officeDocument/2006/relationships/table" Target="../tables/table8.xml"/><Relationship Id="rId63" Type="http://schemas.openxmlformats.org/officeDocument/2006/relationships/table" Target="../tables/table30.xml"/><Relationship Id="rId44" Type="http://schemas.openxmlformats.org/officeDocument/2006/relationships/table" Target="../tables/table11.xml"/><Relationship Id="rId66" Type="http://schemas.openxmlformats.org/officeDocument/2006/relationships/table" Target="../tables/table33.xml"/><Relationship Id="rId43" Type="http://schemas.openxmlformats.org/officeDocument/2006/relationships/table" Target="../tables/table10.xml"/><Relationship Id="rId65" Type="http://schemas.openxmlformats.org/officeDocument/2006/relationships/table" Target="../tables/table32.xml"/><Relationship Id="rId46" Type="http://schemas.openxmlformats.org/officeDocument/2006/relationships/table" Target="../tables/table13.xml"/><Relationship Id="rId68" Type="http://schemas.openxmlformats.org/officeDocument/2006/relationships/table" Target="../tables/table35.xml"/><Relationship Id="rId45" Type="http://schemas.openxmlformats.org/officeDocument/2006/relationships/table" Target="../tables/table12.xml"/><Relationship Id="rId67" Type="http://schemas.openxmlformats.org/officeDocument/2006/relationships/table" Target="../tables/table34.xml"/><Relationship Id="rId60" Type="http://schemas.openxmlformats.org/officeDocument/2006/relationships/table" Target="../tables/table27.xml"/><Relationship Id="rId1" Type="http://schemas.openxmlformats.org/officeDocument/2006/relationships/drawing" Target="../drawings/drawing6.xml"/><Relationship Id="rId48" Type="http://schemas.openxmlformats.org/officeDocument/2006/relationships/table" Target="../tables/table15.xml"/><Relationship Id="rId47" Type="http://schemas.openxmlformats.org/officeDocument/2006/relationships/table" Target="../tables/table14.xml"/><Relationship Id="rId69" Type="http://schemas.openxmlformats.org/officeDocument/2006/relationships/table" Target="../tables/table36.xml"/><Relationship Id="rId49" Type="http://schemas.openxmlformats.org/officeDocument/2006/relationships/table" Target="../tables/table16.xml"/><Relationship Id="rId51" Type="http://schemas.openxmlformats.org/officeDocument/2006/relationships/table" Target="../tables/table18.xml"/><Relationship Id="rId73" Type="http://schemas.openxmlformats.org/officeDocument/2006/relationships/table" Target="../tables/table40.xml"/><Relationship Id="rId50" Type="http://schemas.openxmlformats.org/officeDocument/2006/relationships/table" Target="../tables/table17.xml"/><Relationship Id="rId72" Type="http://schemas.openxmlformats.org/officeDocument/2006/relationships/table" Target="../tables/table39.xml"/><Relationship Id="rId53" Type="http://schemas.openxmlformats.org/officeDocument/2006/relationships/table" Target="../tables/table20.xml"/><Relationship Id="rId52" Type="http://schemas.openxmlformats.org/officeDocument/2006/relationships/table" Target="../tables/table19.xml"/><Relationship Id="rId55" Type="http://schemas.openxmlformats.org/officeDocument/2006/relationships/table" Target="../tables/table22.xml"/><Relationship Id="rId54" Type="http://schemas.openxmlformats.org/officeDocument/2006/relationships/table" Target="../tables/table21.xml"/><Relationship Id="rId57" Type="http://schemas.openxmlformats.org/officeDocument/2006/relationships/table" Target="../tables/table24.xml"/><Relationship Id="rId56" Type="http://schemas.openxmlformats.org/officeDocument/2006/relationships/table" Target="../tables/table23.xml"/><Relationship Id="rId71" Type="http://schemas.openxmlformats.org/officeDocument/2006/relationships/table" Target="../tables/table38.xml"/><Relationship Id="rId70" Type="http://schemas.openxmlformats.org/officeDocument/2006/relationships/table" Target="../tables/table37.xml"/><Relationship Id="rId59" Type="http://schemas.openxmlformats.org/officeDocument/2006/relationships/table" Target="../tables/table26.xml"/><Relationship Id="rId58" Type="http://schemas.openxmlformats.org/officeDocument/2006/relationships/table" Target="../tables/table25.xml"/><Relationship Id="rId39" Type="http://schemas.openxmlformats.org/officeDocument/2006/relationships/table" Target="../tables/table6.xml"/><Relationship Id="rId3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customWidth="1" min="2" max="2" width="8.13"/>
    <col customWidth="1" min="3" max="4" width="2.0"/>
    <col customWidth="1" min="5" max="5" width="19.63"/>
    <col customWidth="1" min="6" max="6" width="14.75"/>
    <col customWidth="1" min="7" max="7" width="6.13"/>
    <col customWidth="1" min="8" max="8" width="2.0"/>
    <col customWidth="1" min="9" max="9" width="11.0"/>
    <col customWidth="1" min="10" max="10" width="12.5"/>
    <col customWidth="1" min="11" max="11" width="4.25"/>
    <col customWidth="1" min="12" max="12" width="2.38"/>
    <col customWidth="1" min="13" max="13" width="2.88"/>
    <col customWidth="1" min="14" max="14" width="1.63"/>
    <col customWidth="1" min="15" max="15" width="15.0"/>
    <col customWidth="1" min="16" max="16" width="32.25"/>
  </cols>
  <sheetData>
    <row r="1" ht="55.5" customHeight="1">
      <c r="A1" s="1" t="str">
        <f>IF(SUM(Table1[QBO Sheet Verification])&lt;&gt;0,"QBO IMPORT SHEET BROKEN","QBO IMPORT SHEET READY")</f>
        <v>QBO IMPORT SHEET READY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2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5" t="s">
        <v>15</v>
      </c>
    </row>
    <row r="3" ht="22.5" customHeight="1">
      <c r="A3" s="6" t="s">
        <v>16</v>
      </c>
      <c r="B3" s="6" t="s">
        <v>17</v>
      </c>
      <c r="C3" s="6"/>
      <c r="D3" s="7"/>
      <c r="E3" s="6" t="s">
        <v>18</v>
      </c>
      <c r="F3" s="7"/>
      <c r="G3" s="6" t="s">
        <v>19</v>
      </c>
      <c r="H3" s="8">
        <v>0.0</v>
      </c>
      <c r="I3" s="9">
        <v>2.24</v>
      </c>
      <c r="J3" s="10">
        <v>5.88</v>
      </c>
      <c r="K3" s="6"/>
      <c r="L3" s="7"/>
      <c r="M3" s="7"/>
      <c r="N3" s="7"/>
      <c r="O3" s="11"/>
      <c r="P3" s="12">
        <f>if(A3='QB Import materials'!A2,0,1)</f>
        <v>0</v>
      </c>
    </row>
    <row r="4" ht="22.5" customHeight="1">
      <c r="A4" s="6" t="s">
        <v>20</v>
      </c>
      <c r="B4" s="6" t="s">
        <v>21</v>
      </c>
      <c r="C4" s="6"/>
      <c r="D4" s="7"/>
      <c r="E4" s="6" t="s">
        <v>22</v>
      </c>
      <c r="F4" s="7"/>
      <c r="G4" s="6" t="s">
        <v>23</v>
      </c>
      <c r="H4" s="8">
        <v>0.0</v>
      </c>
      <c r="I4" s="9">
        <v>0.48</v>
      </c>
      <c r="J4" s="10">
        <v>1.18</v>
      </c>
      <c r="K4" s="6" t="s">
        <v>24</v>
      </c>
      <c r="L4" s="7"/>
      <c r="M4" s="7"/>
      <c r="N4" s="7"/>
      <c r="O4" s="11"/>
      <c r="P4" s="12">
        <f>if(A4='QB Import materials'!A3,0,1)</f>
        <v>0</v>
      </c>
    </row>
    <row r="5" ht="22.5" customHeight="1">
      <c r="A5" s="6" t="s">
        <v>25</v>
      </c>
      <c r="B5" s="6" t="s">
        <v>26</v>
      </c>
      <c r="C5" s="6" t="s">
        <v>27</v>
      </c>
      <c r="D5" s="7"/>
      <c r="E5" s="6" t="s">
        <v>25</v>
      </c>
      <c r="F5" s="7"/>
      <c r="G5" s="6" t="s">
        <v>19</v>
      </c>
      <c r="H5" s="8">
        <v>0.0</v>
      </c>
      <c r="I5" s="9">
        <v>20.72</v>
      </c>
      <c r="J5" s="10">
        <v>23.83</v>
      </c>
      <c r="K5" s="6" t="s">
        <v>24</v>
      </c>
      <c r="L5" s="7"/>
      <c r="M5" s="7"/>
      <c r="N5" s="7"/>
      <c r="O5" s="11">
        <v>45518.0</v>
      </c>
      <c r="P5" s="12">
        <f>if(A5='QB Import materials'!A4,0,1)</f>
        <v>0</v>
      </c>
    </row>
    <row r="6" ht="22.5" customHeight="1">
      <c r="A6" s="6" t="s">
        <v>28</v>
      </c>
      <c r="B6" s="6" t="s">
        <v>29</v>
      </c>
      <c r="C6" s="6" t="s">
        <v>27</v>
      </c>
      <c r="D6" s="7"/>
      <c r="E6" s="6" t="s">
        <v>28</v>
      </c>
      <c r="F6" s="7"/>
      <c r="G6" s="6" t="s">
        <v>19</v>
      </c>
      <c r="H6" s="8">
        <v>0.0</v>
      </c>
      <c r="I6" s="9">
        <v>5.94</v>
      </c>
      <c r="J6" s="10">
        <v>13.19</v>
      </c>
      <c r="K6" s="6" t="s">
        <v>24</v>
      </c>
      <c r="L6" s="7"/>
      <c r="M6" s="7"/>
      <c r="N6" s="7"/>
      <c r="O6" s="11">
        <v>45988.0</v>
      </c>
      <c r="P6" s="12">
        <f>if(A6='QB Import materials'!A5,0,1)</f>
        <v>0</v>
      </c>
    </row>
    <row r="7" ht="22.5" customHeight="1">
      <c r="A7" s="6" t="s">
        <v>30</v>
      </c>
      <c r="B7" s="6" t="s">
        <v>31</v>
      </c>
      <c r="C7" s="6" t="s">
        <v>27</v>
      </c>
      <c r="D7" s="7"/>
      <c r="E7" s="6" t="s">
        <v>30</v>
      </c>
      <c r="F7" s="7"/>
      <c r="G7" s="6" t="s">
        <v>23</v>
      </c>
      <c r="H7" s="8">
        <v>0.0</v>
      </c>
      <c r="I7" s="9">
        <v>0.87</v>
      </c>
      <c r="J7" s="10">
        <v>1.87</v>
      </c>
      <c r="K7" s="6" t="s">
        <v>24</v>
      </c>
      <c r="L7" s="7"/>
      <c r="M7" s="7"/>
      <c r="N7" s="7"/>
      <c r="O7" s="11">
        <v>45988.0</v>
      </c>
      <c r="P7" s="12">
        <f>if(A7='QB Import materials'!A6,0,1)</f>
        <v>0</v>
      </c>
    </row>
    <row r="8" ht="22.5" customHeight="1">
      <c r="A8" s="6" t="s">
        <v>32</v>
      </c>
      <c r="B8" s="6" t="s">
        <v>33</v>
      </c>
      <c r="C8" s="6" t="s">
        <v>27</v>
      </c>
      <c r="D8" s="7"/>
      <c r="E8" s="6" t="s">
        <v>32</v>
      </c>
      <c r="F8" s="7"/>
      <c r="G8" s="6" t="s">
        <v>19</v>
      </c>
      <c r="H8" s="8">
        <v>0.0</v>
      </c>
      <c r="I8" s="9">
        <v>22.8</v>
      </c>
      <c r="J8" s="10">
        <v>26.22</v>
      </c>
      <c r="K8" s="6" t="s">
        <v>24</v>
      </c>
      <c r="L8" s="7"/>
      <c r="M8" s="7"/>
      <c r="N8" s="7"/>
      <c r="O8" s="11">
        <v>45988.0</v>
      </c>
      <c r="P8" s="12">
        <f>if(A8='QB Import materials'!A7,0,1)</f>
        <v>0</v>
      </c>
    </row>
    <row r="9" ht="22.5" customHeight="1">
      <c r="A9" s="6" t="s">
        <v>34</v>
      </c>
      <c r="B9" s="6" t="s">
        <v>35</v>
      </c>
      <c r="C9" s="6" t="s">
        <v>27</v>
      </c>
      <c r="D9" s="7"/>
      <c r="E9" s="6" t="s">
        <v>34</v>
      </c>
      <c r="F9" s="7"/>
      <c r="G9" s="6" t="s">
        <v>19</v>
      </c>
      <c r="H9" s="8">
        <v>0.0</v>
      </c>
      <c r="I9" s="9">
        <v>252.5</v>
      </c>
      <c r="J9" s="10">
        <v>504.99</v>
      </c>
      <c r="K9" s="6" t="s">
        <v>24</v>
      </c>
      <c r="L9" s="7"/>
      <c r="M9" s="7"/>
      <c r="N9" s="7"/>
      <c r="O9" s="11">
        <v>45988.0</v>
      </c>
      <c r="P9" s="12">
        <f>if(A9='QB Import materials'!A8,0,1)</f>
        <v>0</v>
      </c>
    </row>
    <row r="10" ht="22.5" customHeight="1">
      <c r="A10" s="6" t="s">
        <v>36</v>
      </c>
      <c r="B10" s="6" t="s">
        <v>37</v>
      </c>
      <c r="C10" s="6" t="s">
        <v>27</v>
      </c>
      <c r="D10" s="7"/>
      <c r="E10" s="6" t="s">
        <v>36</v>
      </c>
      <c r="F10" s="7"/>
      <c r="G10" s="6" t="s">
        <v>19</v>
      </c>
      <c r="H10" s="8">
        <v>0.0</v>
      </c>
      <c r="I10" s="9">
        <v>50.04</v>
      </c>
      <c r="J10" s="10">
        <v>97.75</v>
      </c>
      <c r="K10" s="6" t="s">
        <v>24</v>
      </c>
      <c r="L10" s="7"/>
      <c r="M10" s="7"/>
      <c r="N10" s="7"/>
      <c r="O10" s="11">
        <v>45988.0</v>
      </c>
      <c r="P10" s="12">
        <f>if(A10='QB Import materials'!A9,0,1)</f>
        <v>0</v>
      </c>
    </row>
    <row r="11" ht="22.5" customHeight="1">
      <c r="A11" s="6" t="s">
        <v>38</v>
      </c>
      <c r="B11" s="6" t="s">
        <v>39</v>
      </c>
      <c r="C11" s="6" t="s">
        <v>27</v>
      </c>
      <c r="D11" s="7"/>
      <c r="E11" s="6" t="s">
        <v>38</v>
      </c>
      <c r="F11" s="7"/>
      <c r="G11" s="6" t="s">
        <v>19</v>
      </c>
      <c r="H11" s="8">
        <v>0.0</v>
      </c>
      <c r="I11" s="9">
        <v>1.62</v>
      </c>
      <c r="J11" s="10">
        <v>3.6</v>
      </c>
      <c r="K11" s="6" t="s">
        <v>24</v>
      </c>
      <c r="L11" s="7"/>
      <c r="M11" s="7"/>
      <c r="N11" s="7"/>
      <c r="O11" s="11">
        <v>45988.0</v>
      </c>
      <c r="P11" s="12">
        <f>if(A11='QB Import materials'!A10,0,1)</f>
        <v>0</v>
      </c>
    </row>
    <row r="12" ht="22.5" customHeight="1">
      <c r="A12" s="6" t="s">
        <v>40</v>
      </c>
      <c r="B12" s="6" t="s">
        <v>41</v>
      </c>
      <c r="C12" s="6" t="s">
        <v>27</v>
      </c>
      <c r="D12" s="7"/>
      <c r="E12" s="6" t="s">
        <v>40</v>
      </c>
      <c r="F12" s="7"/>
      <c r="G12" s="6" t="s">
        <v>23</v>
      </c>
      <c r="H12" s="8">
        <v>0.0</v>
      </c>
      <c r="I12" s="9">
        <v>0.36</v>
      </c>
      <c r="J12" s="10">
        <v>0.74</v>
      </c>
      <c r="K12" s="6" t="s">
        <v>24</v>
      </c>
      <c r="L12" s="7"/>
      <c r="M12" s="7"/>
      <c r="N12" s="7"/>
      <c r="O12" s="11">
        <v>45988.0</v>
      </c>
      <c r="P12" s="12">
        <f>if(A12='QB Import materials'!A11,0,1)</f>
        <v>0</v>
      </c>
    </row>
    <row r="13" ht="22.5" customHeight="1">
      <c r="A13" s="6" t="s">
        <v>42</v>
      </c>
      <c r="B13" s="6" t="s">
        <v>43</v>
      </c>
      <c r="C13" s="6" t="s">
        <v>27</v>
      </c>
      <c r="D13" s="7"/>
      <c r="E13" s="6" t="s">
        <v>42</v>
      </c>
      <c r="F13" s="7"/>
      <c r="G13" s="6" t="s">
        <v>19</v>
      </c>
      <c r="H13" s="8">
        <v>0.0</v>
      </c>
      <c r="I13" s="9">
        <v>13.69</v>
      </c>
      <c r="J13" s="10">
        <v>15.74</v>
      </c>
      <c r="K13" s="6" t="s">
        <v>24</v>
      </c>
      <c r="L13" s="7"/>
      <c r="M13" s="7"/>
      <c r="N13" s="7"/>
      <c r="O13" s="11">
        <v>45518.0</v>
      </c>
      <c r="P13" s="12">
        <f>if(A13='QB Import materials'!A12,0,1)</f>
        <v>0</v>
      </c>
    </row>
    <row r="14" ht="22.5" customHeight="1">
      <c r="A14" s="6" t="s">
        <v>44</v>
      </c>
      <c r="B14" s="6" t="s">
        <v>45</v>
      </c>
      <c r="C14" s="6" t="s">
        <v>27</v>
      </c>
      <c r="D14" s="7"/>
      <c r="E14" s="6" t="s">
        <v>44</v>
      </c>
      <c r="F14" s="7"/>
      <c r="G14" s="6" t="s">
        <v>19</v>
      </c>
      <c r="H14" s="8">
        <v>0.0</v>
      </c>
      <c r="I14" s="9">
        <v>128.94</v>
      </c>
      <c r="J14" s="10">
        <v>204.53</v>
      </c>
      <c r="K14" s="6" t="s">
        <v>24</v>
      </c>
      <c r="L14" s="7"/>
      <c r="M14" s="7"/>
      <c r="N14" s="7"/>
      <c r="O14" s="11">
        <v>45988.0</v>
      </c>
      <c r="P14" s="12">
        <f>if(A14='QB Import materials'!A13,0,1)</f>
        <v>0</v>
      </c>
    </row>
    <row r="15" ht="22.5" customHeight="1">
      <c r="A15" s="6" t="s">
        <v>46</v>
      </c>
      <c r="B15" s="6" t="s">
        <v>47</v>
      </c>
      <c r="C15" s="6" t="s">
        <v>27</v>
      </c>
      <c r="D15" s="7"/>
      <c r="E15" s="6" t="s">
        <v>46</v>
      </c>
      <c r="F15" s="7"/>
      <c r="G15" s="6" t="s">
        <v>19</v>
      </c>
      <c r="H15" s="8">
        <v>0.0</v>
      </c>
      <c r="I15" s="9">
        <v>17.78</v>
      </c>
      <c r="J15" s="10">
        <v>35.56</v>
      </c>
      <c r="K15" s="6" t="s">
        <v>24</v>
      </c>
      <c r="L15" s="7"/>
      <c r="M15" s="7"/>
      <c r="N15" s="7"/>
      <c r="O15" s="13">
        <v>45988.0</v>
      </c>
      <c r="P15" s="12">
        <f>if(A15='QB Import materials'!A14,0,1)</f>
        <v>0</v>
      </c>
    </row>
    <row r="16" ht="22.5" customHeight="1">
      <c r="A16" s="6" t="s">
        <v>48</v>
      </c>
      <c r="B16" s="6" t="s">
        <v>49</v>
      </c>
      <c r="C16" s="6" t="s">
        <v>27</v>
      </c>
      <c r="D16" s="7"/>
      <c r="E16" s="6" t="s">
        <v>48</v>
      </c>
      <c r="F16" s="7"/>
      <c r="G16" s="6" t="s">
        <v>19</v>
      </c>
      <c r="H16" s="8">
        <v>0.0</v>
      </c>
      <c r="I16" s="9">
        <v>0.38</v>
      </c>
      <c r="J16" s="10">
        <v>1.69</v>
      </c>
      <c r="K16" s="6" t="s">
        <v>24</v>
      </c>
      <c r="L16" s="7"/>
      <c r="M16" s="7"/>
      <c r="N16" s="7"/>
      <c r="O16" s="11">
        <v>45988.0</v>
      </c>
      <c r="P16" s="12">
        <f>if(A16='QB Import materials'!A15,0,1)</f>
        <v>0</v>
      </c>
    </row>
    <row r="17" ht="22.5" customHeight="1">
      <c r="A17" s="6" t="s">
        <v>50</v>
      </c>
      <c r="B17" s="6" t="s">
        <v>51</v>
      </c>
      <c r="C17" s="6" t="s">
        <v>27</v>
      </c>
      <c r="D17" s="7"/>
      <c r="E17" s="6" t="s">
        <v>50</v>
      </c>
      <c r="F17" s="7"/>
      <c r="G17" s="6" t="s">
        <v>23</v>
      </c>
      <c r="H17" s="8">
        <v>0.0</v>
      </c>
      <c r="I17" s="9">
        <v>0.13</v>
      </c>
      <c r="J17" s="10">
        <v>0.49</v>
      </c>
      <c r="K17" s="6" t="s">
        <v>24</v>
      </c>
      <c r="L17" s="7"/>
      <c r="M17" s="7"/>
      <c r="N17" s="7"/>
      <c r="O17" s="11">
        <v>45989.0</v>
      </c>
      <c r="P17" s="12">
        <f>if(A17='QB Import materials'!A16,0,1)</f>
        <v>0</v>
      </c>
    </row>
    <row r="18" ht="22.5" customHeight="1">
      <c r="A18" s="6" t="s">
        <v>52</v>
      </c>
      <c r="B18" s="6" t="s">
        <v>53</v>
      </c>
      <c r="C18" s="6" t="s">
        <v>27</v>
      </c>
      <c r="D18" s="7"/>
      <c r="E18" s="6" t="s">
        <v>52</v>
      </c>
      <c r="F18" s="7"/>
      <c r="G18" s="6" t="s">
        <v>54</v>
      </c>
      <c r="H18" s="8">
        <v>0.0</v>
      </c>
      <c r="I18" s="9">
        <v>7.56</v>
      </c>
      <c r="J18" s="10">
        <v>12.64</v>
      </c>
      <c r="K18" s="14"/>
      <c r="L18" s="7"/>
      <c r="M18" s="7"/>
      <c r="N18" s="7"/>
      <c r="O18" s="11">
        <v>45404.0</v>
      </c>
      <c r="P18" s="12">
        <f>if(A18='QB Import materials'!A17,0,1)</f>
        <v>0</v>
      </c>
    </row>
    <row r="19" ht="22.5" customHeight="1">
      <c r="A19" s="6" t="s">
        <v>55</v>
      </c>
      <c r="B19" s="6" t="s">
        <v>56</v>
      </c>
      <c r="C19" s="6" t="s">
        <v>27</v>
      </c>
      <c r="D19" s="7"/>
      <c r="E19" s="6" t="s">
        <v>55</v>
      </c>
      <c r="F19" s="7"/>
      <c r="G19" s="6" t="s">
        <v>19</v>
      </c>
      <c r="H19" s="8">
        <v>0.0</v>
      </c>
      <c r="I19" s="9">
        <v>7.53</v>
      </c>
      <c r="J19" s="10">
        <v>16.71</v>
      </c>
      <c r="K19" s="6" t="s">
        <v>24</v>
      </c>
      <c r="L19" s="7"/>
      <c r="M19" s="7"/>
      <c r="N19" s="7"/>
      <c r="O19" s="11">
        <v>45988.0</v>
      </c>
      <c r="P19" s="12">
        <f>if(A19='QB Import materials'!A18,0,1)</f>
        <v>0</v>
      </c>
    </row>
    <row r="20" ht="22.5" customHeight="1">
      <c r="A20" s="6" t="s">
        <v>57</v>
      </c>
      <c r="B20" s="6" t="s">
        <v>58</v>
      </c>
      <c r="C20" s="6" t="s">
        <v>27</v>
      </c>
      <c r="D20" s="7"/>
      <c r="E20" s="6" t="s">
        <v>57</v>
      </c>
      <c r="F20" s="7"/>
      <c r="G20" s="6" t="s">
        <v>23</v>
      </c>
      <c r="H20" s="8">
        <v>0.0</v>
      </c>
      <c r="I20" s="9">
        <v>1.43</v>
      </c>
      <c r="J20" s="10">
        <v>3.01</v>
      </c>
      <c r="K20" s="6" t="s">
        <v>24</v>
      </c>
      <c r="L20" s="7"/>
      <c r="M20" s="7"/>
      <c r="N20" s="7"/>
      <c r="O20" s="13">
        <v>45988.0</v>
      </c>
      <c r="P20" s="12">
        <f>if(A20='QB Import materials'!A19,0,1)</f>
        <v>0</v>
      </c>
    </row>
    <row r="21" ht="22.5" customHeight="1">
      <c r="A21" s="6" t="s">
        <v>59</v>
      </c>
      <c r="B21" s="6" t="s">
        <v>60</v>
      </c>
      <c r="C21" s="6" t="s">
        <v>27</v>
      </c>
      <c r="D21" s="7"/>
      <c r="E21" s="6" t="s">
        <v>59</v>
      </c>
      <c r="F21" s="7"/>
      <c r="G21" s="6" t="s">
        <v>19</v>
      </c>
      <c r="H21" s="8">
        <v>0.0</v>
      </c>
      <c r="I21" s="9">
        <v>4.75</v>
      </c>
      <c r="J21" s="10">
        <v>12.09</v>
      </c>
      <c r="K21" s="6" t="s">
        <v>24</v>
      </c>
      <c r="L21" s="7"/>
      <c r="M21" s="7"/>
      <c r="N21" s="7"/>
      <c r="O21" s="13">
        <v>45988.0</v>
      </c>
      <c r="P21" s="12">
        <f>if(A21='QB Import materials'!A20,0,1)</f>
        <v>0</v>
      </c>
    </row>
    <row r="22" ht="22.5" customHeight="1">
      <c r="A22" s="6" t="s">
        <v>61</v>
      </c>
      <c r="B22" s="6" t="s">
        <v>62</v>
      </c>
      <c r="C22" s="6" t="s">
        <v>27</v>
      </c>
      <c r="D22" s="7"/>
      <c r="E22" s="6" t="s">
        <v>61</v>
      </c>
      <c r="F22" s="7"/>
      <c r="G22" s="6" t="s">
        <v>19</v>
      </c>
      <c r="H22" s="8">
        <v>0.0</v>
      </c>
      <c r="I22" s="9">
        <v>32.69</v>
      </c>
      <c r="J22" s="10">
        <v>37.59</v>
      </c>
      <c r="K22" s="6" t="s">
        <v>24</v>
      </c>
      <c r="L22" s="7"/>
      <c r="M22" s="7"/>
      <c r="N22" s="7"/>
      <c r="O22" s="11">
        <v>45988.0</v>
      </c>
      <c r="P22" s="12">
        <f>if(A22='QB Import materials'!A21,0,1)</f>
        <v>0</v>
      </c>
    </row>
    <row r="23" ht="22.5" customHeight="1">
      <c r="A23" s="6" t="s">
        <v>63</v>
      </c>
      <c r="B23" s="6" t="s">
        <v>64</v>
      </c>
      <c r="C23" s="6" t="s">
        <v>27</v>
      </c>
      <c r="D23" s="7"/>
      <c r="E23" s="6" t="s">
        <v>63</v>
      </c>
      <c r="F23" s="7"/>
      <c r="G23" s="6" t="s">
        <v>19</v>
      </c>
      <c r="H23" s="8">
        <v>0.0</v>
      </c>
      <c r="I23" s="9">
        <v>49.75</v>
      </c>
      <c r="J23" s="10">
        <v>97.95</v>
      </c>
      <c r="K23" s="6" t="s">
        <v>24</v>
      </c>
      <c r="L23" s="7"/>
      <c r="M23" s="7"/>
      <c r="N23" s="7"/>
      <c r="O23" s="11">
        <v>45988.0</v>
      </c>
      <c r="P23" s="12">
        <f>if(A23='QB Import materials'!A22,0,1)</f>
        <v>0</v>
      </c>
    </row>
    <row r="24" ht="22.5" customHeight="1">
      <c r="A24" s="6" t="s">
        <v>65</v>
      </c>
      <c r="B24" s="6" t="s">
        <v>66</v>
      </c>
      <c r="C24" s="6" t="s">
        <v>27</v>
      </c>
      <c r="D24" s="7"/>
      <c r="E24" s="6" t="s">
        <v>65</v>
      </c>
      <c r="F24" s="7"/>
      <c r="G24" s="6" t="s">
        <v>23</v>
      </c>
      <c r="H24" s="8">
        <v>0.0</v>
      </c>
      <c r="I24" s="9">
        <v>2.25</v>
      </c>
      <c r="J24" s="10">
        <v>4.5</v>
      </c>
      <c r="K24" s="6" t="s">
        <v>24</v>
      </c>
      <c r="L24" s="7"/>
      <c r="M24" s="7"/>
      <c r="N24" s="7"/>
      <c r="O24" s="11">
        <v>45988.0</v>
      </c>
      <c r="P24" s="12">
        <f>if(A24='QB Import materials'!A23,0,1)</f>
        <v>0</v>
      </c>
    </row>
    <row r="25" ht="22.5" customHeight="1">
      <c r="A25" s="6" t="s">
        <v>67</v>
      </c>
      <c r="B25" s="6" t="s">
        <v>68</v>
      </c>
      <c r="C25" s="6" t="s">
        <v>27</v>
      </c>
      <c r="D25" s="7"/>
      <c r="E25" s="6" t="s">
        <v>67</v>
      </c>
      <c r="F25" s="7"/>
      <c r="G25" s="6" t="s">
        <v>19</v>
      </c>
      <c r="H25" s="8">
        <v>0.0</v>
      </c>
      <c r="I25" s="9">
        <v>8.5</v>
      </c>
      <c r="J25" s="10">
        <v>14.21</v>
      </c>
      <c r="K25" s="14"/>
      <c r="L25" s="7"/>
      <c r="M25" s="7"/>
      <c r="N25" s="7"/>
      <c r="O25" s="13">
        <v>45988.0</v>
      </c>
      <c r="P25" s="12">
        <f>if(A25='QB Import materials'!A24,0,1)</f>
        <v>0</v>
      </c>
    </row>
    <row r="26" ht="22.5" customHeight="1">
      <c r="A26" s="6" t="s">
        <v>69</v>
      </c>
      <c r="B26" s="6" t="s">
        <v>70</v>
      </c>
      <c r="C26" s="6" t="s">
        <v>27</v>
      </c>
      <c r="D26" s="7"/>
      <c r="E26" s="6" t="s">
        <v>69</v>
      </c>
      <c r="F26" s="7"/>
      <c r="G26" s="6" t="s">
        <v>19</v>
      </c>
      <c r="H26" s="8">
        <v>0.0</v>
      </c>
      <c r="I26" s="9">
        <v>6.33</v>
      </c>
      <c r="J26" s="10">
        <v>10.58</v>
      </c>
      <c r="K26" s="14"/>
      <c r="L26" s="7"/>
      <c r="M26" s="7"/>
      <c r="N26" s="7"/>
      <c r="O26" s="11">
        <v>45988.0</v>
      </c>
      <c r="P26" s="12">
        <f>if(A26='QB Import materials'!A25,0,1)</f>
        <v>0</v>
      </c>
    </row>
    <row r="27" ht="22.5" customHeight="1">
      <c r="A27" s="6" t="s">
        <v>71</v>
      </c>
      <c r="B27" s="6" t="s">
        <v>72</v>
      </c>
      <c r="C27" s="6" t="s">
        <v>27</v>
      </c>
      <c r="D27" s="14"/>
      <c r="E27" s="6" t="s">
        <v>71</v>
      </c>
      <c r="F27" s="7"/>
      <c r="G27" s="6" t="s">
        <v>23</v>
      </c>
      <c r="H27" s="8">
        <v>0.0</v>
      </c>
      <c r="I27" s="9">
        <v>3.7</v>
      </c>
      <c r="J27" s="10">
        <v>6.18</v>
      </c>
      <c r="K27" s="7"/>
      <c r="L27" s="7"/>
      <c r="M27" s="7"/>
      <c r="N27" s="7"/>
      <c r="O27" s="11">
        <v>45988.0</v>
      </c>
      <c r="P27" s="12">
        <f>if(A27='QB Import materials'!A26,0,1)</f>
        <v>0</v>
      </c>
    </row>
    <row r="28" ht="22.5" customHeight="1">
      <c r="A28" s="6" t="s">
        <v>73</v>
      </c>
      <c r="B28" s="6" t="s">
        <v>74</v>
      </c>
      <c r="C28" s="6" t="s">
        <v>27</v>
      </c>
      <c r="D28" s="14"/>
      <c r="E28" s="6" t="s">
        <v>73</v>
      </c>
      <c r="F28" s="7"/>
      <c r="G28" s="6" t="s">
        <v>54</v>
      </c>
      <c r="H28" s="8">
        <v>0.0</v>
      </c>
      <c r="I28" s="9">
        <v>25.0</v>
      </c>
      <c r="J28" s="10">
        <v>41.79</v>
      </c>
      <c r="K28" s="7"/>
      <c r="L28" s="7"/>
      <c r="M28" s="7"/>
      <c r="N28" s="7"/>
      <c r="O28" s="11">
        <v>45404.0</v>
      </c>
      <c r="P28" s="12">
        <f>if(A28='QB Import materials'!A27,0,1)</f>
        <v>0</v>
      </c>
    </row>
    <row r="29" ht="22.5" customHeight="1">
      <c r="A29" s="6" t="s">
        <v>75</v>
      </c>
      <c r="B29" s="6" t="s">
        <v>76</v>
      </c>
      <c r="C29" s="6" t="s">
        <v>27</v>
      </c>
      <c r="D29" s="7"/>
      <c r="E29" s="6" t="s">
        <v>75</v>
      </c>
      <c r="F29" s="7"/>
      <c r="G29" s="6" t="s">
        <v>19</v>
      </c>
      <c r="H29" s="8">
        <v>0.0</v>
      </c>
      <c r="I29" s="9">
        <v>96.0</v>
      </c>
      <c r="J29" s="10">
        <v>543.0</v>
      </c>
      <c r="K29" s="6" t="s">
        <v>24</v>
      </c>
      <c r="L29" s="7"/>
      <c r="M29" s="7"/>
      <c r="N29" s="7"/>
      <c r="O29" s="13">
        <v>45988.0</v>
      </c>
      <c r="P29" s="12">
        <f>if(A29='QB Import materials'!A28,0,1)</f>
        <v>0</v>
      </c>
    </row>
    <row r="30" ht="22.5" customHeight="1">
      <c r="A30" s="6" t="s">
        <v>77</v>
      </c>
      <c r="B30" s="6" t="s">
        <v>78</v>
      </c>
      <c r="C30" s="6" t="s">
        <v>27</v>
      </c>
      <c r="D30" s="7"/>
      <c r="E30" s="6" t="s">
        <v>77</v>
      </c>
      <c r="F30" s="7"/>
      <c r="G30" s="6" t="s">
        <v>19</v>
      </c>
      <c r="H30" s="8">
        <v>0.0</v>
      </c>
      <c r="I30" s="9">
        <v>3.43</v>
      </c>
      <c r="J30" s="10">
        <v>6.59</v>
      </c>
      <c r="K30" s="6" t="s">
        <v>24</v>
      </c>
      <c r="L30" s="7"/>
      <c r="M30" s="7"/>
      <c r="N30" s="7"/>
      <c r="O30" s="13">
        <v>45989.0</v>
      </c>
      <c r="P30" s="12">
        <f>if(A30='QB Import materials'!A29,0,1)</f>
        <v>0</v>
      </c>
    </row>
    <row r="31" ht="22.5" customHeight="1">
      <c r="A31" s="6" t="s">
        <v>79</v>
      </c>
      <c r="B31" s="6" t="s">
        <v>80</v>
      </c>
      <c r="C31" s="6" t="s">
        <v>27</v>
      </c>
      <c r="D31" s="7"/>
      <c r="E31" s="6" t="s">
        <v>79</v>
      </c>
      <c r="F31" s="7"/>
      <c r="G31" s="6" t="s">
        <v>19</v>
      </c>
      <c r="H31" s="8">
        <v>0.0</v>
      </c>
      <c r="I31" s="9">
        <v>34.98</v>
      </c>
      <c r="J31" s="10">
        <v>58.47</v>
      </c>
      <c r="K31" s="6" t="s">
        <v>24</v>
      </c>
      <c r="L31" s="7"/>
      <c r="M31" s="7"/>
      <c r="N31" s="7"/>
      <c r="O31" s="13">
        <v>45989.0</v>
      </c>
      <c r="P31" s="12">
        <f>if(A31='QB Import materials'!A30,0,1)</f>
        <v>0</v>
      </c>
    </row>
    <row r="32" ht="22.5" customHeight="1">
      <c r="A32" s="6" t="s">
        <v>81</v>
      </c>
      <c r="B32" s="6" t="s">
        <v>82</v>
      </c>
      <c r="C32" s="6" t="s">
        <v>27</v>
      </c>
      <c r="D32" s="7"/>
      <c r="E32" s="6" t="s">
        <v>81</v>
      </c>
      <c r="F32" s="7"/>
      <c r="G32" s="6" t="s">
        <v>19</v>
      </c>
      <c r="H32" s="8">
        <v>0.0</v>
      </c>
      <c r="I32" s="9">
        <v>751.5</v>
      </c>
      <c r="J32" s="10">
        <v>1256.14</v>
      </c>
      <c r="K32" s="14"/>
      <c r="L32" s="7"/>
      <c r="M32" s="7"/>
      <c r="N32" s="7"/>
      <c r="O32" s="13">
        <v>45988.0</v>
      </c>
      <c r="P32" s="12">
        <f>if(A32='QB Import materials'!A31,0,1)</f>
        <v>0</v>
      </c>
    </row>
    <row r="33" ht="22.5" customHeight="1">
      <c r="A33" s="6" t="s">
        <v>83</v>
      </c>
      <c r="B33" s="6" t="s">
        <v>84</v>
      </c>
      <c r="C33" s="6" t="s">
        <v>27</v>
      </c>
      <c r="D33" s="7"/>
      <c r="E33" s="6" t="s">
        <v>83</v>
      </c>
      <c r="F33" s="7"/>
      <c r="G33" s="6" t="s">
        <v>19</v>
      </c>
      <c r="H33" s="8">
        <v>0.0</v>
      </c>
      <c r="I33" s="9">
        <v>851.5</v>
      </c>
      <c r="J33" s="10">
        <v>1423.29</v>
      </c>
      <c r="K33" s="7"/>
      <c r="L33" s="7"/>
      <c r="M33" s="7"/>
      <c r="N33" s="7"/>
      <c r="O33" s="13">
        <v>45989.0</v>
      </c>
      <c r="P33" s="12">
        <f>if(A33='QB Import materials'!A32,0,1)</f>
        <v>0</v>
      </c>
    </row>
    <row r="34" ht="22.5" customHeight="1">
      <c r="A34" s="6" t="s">
        <v>85</v>
      </c>
      <c r="B34" s="6" t="s">
        <v>86</v>
      </c>
      <c r="C34" s="6" t="s">
        <v>27</v>
      </c>
      <c r="D34" s="7"/>
      <c r="E34" s="6" t="s">
        <v>85</v>
      </c>
      <c r="F34" s="7"/>
      <c r="G34" s="6" t="s">
        <v>19</v>
      </c>
      <c r="H34" s="8">
        <v>0.0</v>
      </c>
      <c r="I34" s="9">
        <v>22.0</v>
      </c>
      <c r="J34" s="10">
        <v>22.0</v>
      </c>
      <c r="K34" s="6" t="s">
        <v>24</v>
      </c>
      <c r="L34" s="7"/>
      <c r="M34" s="7"/>
      <c r="N34" s="7"/>
      <c r="O34" s="11">
        <v>45988.0</v>
      </c>
      <c r="P34" s="12">
        <f>if(A34='QB Import materials'!A33,0,1)</f>
        <v>0</v>
      </c>
    </row>
    <row r="35" ht="22.5" customHeight="1">
      <c r="A35" s="6" t="s">
        <v>87</v>
      </c>
      <c r="B35" s="6" t="s">
        <v>88</v>
      </c>
      <c r="C35" s="6" t="s">
        <v>27</v>
      </c>
      <c r="D35" s="7"/>
      <c r="E35" s="6" t="s">
        <v>87</v>
      </c>
      <c r="F35" s="7"/>
      <c r="G35" s="6" t="s">
        <v>19</v>
      </c>
      <c r="H35" s="8">
        <v>0.0</v>
      </c>
      <c r="I35" s="9">
        <v>15.0</v>
      </c>
      <c r="J35" s="10">
        <v>15.0</v>
      </c>
      <c r="K35" s="6" t="s">
        <v>24</v>
      </c>
      <c r="L35" s="7"/>
      <c r="M35" s="7"/>
      <c r="N35" s="7"/>
      <c r="O35" s="11">
        <v>45988.0</v>
      </c>
      <c r="P35" s="12">
        <f>if(A35='QB Import materials'!A34,0,1)</f>
        <v>0</v>
      </c>
    </row>
    <row r="36" ht="22.5" customHeight="1">
      <c r="A36" s="6" t="s">
        <v>89</v>
      </c>
      <c r="B36" s="6" t="s">
        <v>90</v>
      </c>
      <c r="C36" s="6" t="s">
        <v>27</v>
      </c>
      <c r="D36" s="7"/>
      <c r="E36" s="6" t="s">
        <v>89</v>
      </c>
      <c r="F36" s="7"/>
      <c r="G36" s="6" t="s">
        <v>19</v>
      </c>
      <c r="H36" s="8">
        <v>0.0</v>
      </c>
      <c r="I36" s="9">
        <v>6.0</v>
      </c>
      <c r="J36" s="10">
        <v>6.0</v>
      </c>
      <c r="K36" s="6" t="s">
        <v>24</v>
      </c>
      <c r="L36" s="7"/>
      <c r="M36" s="7"/>
      <c r="N36" s="7"/>
      <c r="O36" s="11">
        <v>45988.0</v>
      </c>
      <c r="P36" s="12">
        <f>if(A36='QB Import materials'!A35,0,1)</f>
        <v>0</v>
      </c>
    </row>
    <row r="37" ht="22.5" customHeight="1">
      <c r="A37" s="6" t="s">
        <v>91</v>
      </c>
      <c r="B37" s="6" t="s">
        <v>92</v>
      </c>
      <c r="C37" s="6" t="s">
        <v>27</v>
      </c>
      <c r="D37" s="7"/>
      <c r="E37" s="6" t="s">
        <v>91</v>
      </c>
      <c r="F37" s="7"/>
      <c r="G37" s="6" t="s">
        <v>93</v>
      </c>
      <c r="H37" s="8">
        <v>0.0</v>
      </c>
      <c r="I37" s="9">
        <v>0.0</v>
      </c>
      <c r="J37" s="10">
        <v>1.0</v>
      </c>
      <c r="K37" s="14"/>
      <c r="L37" s="7"/>
      <c r="M37" s="7"/>
      <c r="N37" s="7"/>
      <c r="O37" s="11">
        <v>45988.0</v>
      </c>
      <c r="P37" s="12">
        <f>if(A37='QB Import materials'!A36,0,1)</f>
        <v>0</v>
      </c>
    </row>
    <row r="38" ht="22.5" customHeight="1">
      <c r="A38" s="6" t="s">
        <v>94</v>
      </c>
      <c r="B38" s="6" t="s">
        <v>95</v>
      </c>
      <c r="C38" s="6" t="s">
        <v>27</v>
      </c>
      <c r="D38" s="7"/>
      <c r="E38" s="6" t="s">
        <v>94</v>
      </c>
      <c r="F38" s="7"/>
      <c r="G38" s="6" t="s">
        <v>23</v>
      </c>
      <c r="H38" s="8">
        <v>0.0</v>
      </c>
      <c r="I38" s="9">
        <v>0.11</v>
      </c>
      <c r="J38" s="10">
        <v>0.24</v>
      </c>
      <c r="K38" s="6" t="s">
        <v>24</v>
      </c>
      <c r="L38" s="7"/>
      <c r="M38" s="7"/>
      <c r="N38" s="7"/>
      <c r="O38" s="11">
        <v>45988.0</v>
      </c>
      <c r="P38" s="12">
        <f>if(A38='QB Import materials'!A37,0,1)</f>
        <v>0</v>
      </c>
    </row>
    <row r="39" ht="22.5" customHeight="1">
      <c r="A39" s="6" t="s">
        <v>96</v>
      </c>
      <c r="B39" s="6" t="s">
        <v>97</v>
      </c>
      <c r="C39" s="6" t="s">
        <v>27</v>
      </c>
      <c r="D39" s="7"/>
      <c r="E39" s="6" t="s">
        <v>96</v>
      </c>
      <c r="F39" s="7"/>
      <c r="G39" s="6" t="s">
        <v>19</v>
      </c>
      <c r="H39" s="8">
        <v>0.0</v>
      </c>
      <c r="I39" s="9">
        <v>365.0</v>
      </c>
      <c r="J39" s="10">
        <v>637.3</v>
      </c>
      <c r="K39" s="6" t="s">
        <v>24</v>
      </c>
      <c r="L39" s="7"/>
      <c r="M39" s="7"/>
      <c r="N39" s="7"/>
      <c r="O39" s="11">
        <v>45988.0</v>
      </c>
      <c r="P39" s="12">
        <f>if(A39='QB Import materials'!A38,0,1)</f>
        <v>0</v>
      </c>
    </row>
    <row r="40" ht="22.5" customHeight="1">
      <c r="A40" s="6" t="s">
        <v>98</v>
      </c>
      <c r="B40" s="6" t="s">
        <v>99</v>
      </c>
      <c r="C40" s="6" t="s">
        <v>27</v>
      </c>
      <c r="D40" s="7"/>
      <c r="E40" s="6" t="s">
        <v>98</v>
      </c>
      <c r="F40" s="7"/>
      <c r="G40" s="6" t="s">
        <v>19</v>
      </c>
      <c r="H40" s="8">
        <v>0.0</v>
      </c>
      <c r="I40" s="9">
        <v>300.0</v>
      </c>
      <c r="J40" s="10">
        <v>532.81</v>
      </c>
      <c r="K40" s="6" t="s">
        <v>24</v>
      </c>
      <c r="L40" s="7"/>
      <c r="M40" s="7"/>
      <c r="N40" s="7"/>
      <c r="O40" s="11">
        <v>45988.0</v>
      </c>
      <c r="P40" s="12">
        <f>if(A40='QB Import materials'!A39,0,1)</f>
        <v>0</v>
      </c>
    </row>
    <row r="41" ht="22.5" customHeight="1">
      <c r="A41" s="6" t="s">
        <v>100</v>
      </c>
      <c r="B41" s="6" t="s">
        <v>101</v>
      </c>
      <c r="C41" s="6" t="s">
        <v>27</v>
      </c>
      <c r="D41" s="7"/>
      <c r="E41" s="6" t="s">
        <v>100</v>
      </c>
      <c r="F41" s="7"/>
      <c r="G41" s="6" t="s">
        <v>19</v>
      </c>
      <c r="H41" s="8">
        <v>0.0</v>
      </c>
      <c r="I41" s="9">
        <v>335.0</v>
      </c>
      <c r="J41" s="10">
        <v>527.3</v>
      </c>
      <c r="K41" s="6" t="s">
        <v>24</v>
      </c>
      <c r="L41" s="7"/>
      <c r="M41" s="7"/>
      <c r="N41" s="7"/>
      <c r="O41" s="11">
        <v>45988.0</v>
      </c>
      <c r="P41" s="12">
        <f>if(A41='QB Import materials'!A40,0,1)</f>
        <v>0</v>
      </c>
    </row>
    <row r="42" ht="22.5" customHeight="1">
      <c r="A42" s="6" t="s">
        <v>102</v>
      </c>
      <c r="B42" s="6" t="s">
        <v>103</v>
      </c>
      <c r="C42" s="6" t="s">
        <v>27</v>
      </c>
      <c r="D42" s="7"/>
      <c r="E42" s="6" t="s">
        <v>102</v>
      </c>
      <c r="F42" s="7"/>
      <c r="G42" s="6" t="s">
        <v>19</v>
      </c>
      <c r="H42" s="8">
        <v>0.0</v>
      </c>
      <c r="I42" s="9">
        <v>250.0</v>
      </c>
      <c r="J42" s="10">
        <v>420.0</v>
      </c>
      <c r="K42" s="6" t="s">
        <v>24</v>
      </c>
      <c r="L42" s="7"/>
      <c r="M42" s="7"/>
      <c r="N42" s="7"/>
      <c r="O42" s="11">
        <v>45988.0</v>
      </c>
      <c r="P42" s="12">
        <f>if(A42='QB Import materials'!A41,0,1)</f>
        <v>0</v>
      </c>
    </row>
    <row r="43" ht="22.5" customHeight="1">
      <c r="A43" s="6" t="s">
        <v>104</v>
      </c>
      <c r="B43" s="6" t="s">
        <v>105</v>
      </c>
      <c r="C43" s="6" t="s">
        <v>27</v>
      </c>
      <c r="D43" s="7"/>
      <c r="E43" s="6" t="s">
        <v>104</v>
      </c>
      <c r="F43" s="7"/>
      <c r="G43" s="6" t="s">
        <v>19</v>
      </c>
      <c r="H43" s="8">
        <v>0.0</v>
      </c>
      <c r="I43" s="9">
        <v>420.0</v>
      </c>
      <c r="J43" s="10">
        <v>733.33</v>
      </c>
      <c r="K43" s="6" t="s">
        <v>24</v>
      </c>
      <c r="L43" s="7"/>
      <c r="M43" s="7"/>
      <c r="N43" s="7"/>
      <c r="O43" s="11">
        <v>45988.0</v>
      </c>
      <c r="P43" s="12">
        <f>if(A43='QB Import materials'!A42,0,1)</f>
        <v>0</v>
      </c>
    </row>
    <row r="44" ht="22.5" customHeight="1">
      <c r="A44" s="6" t="s">
        <v>106</v>
      </c>
      <c r="B44" s="6" t="s">
        <v>107</v>
      </c>
      <c r="C44" s="6" t="s">
        <v>27</v>
      </c>
      <c r="D44" s="7"/>
      <c r="E44" s="6" t="s">
        <v>106</v>
      </c>
      <c r="F44" s="7"/>
      <c r="G44" s="6" t="s">
        <v>19</v>
      </c>
      <c r="H44" s="8">
        <v>0.0</v>
      </c>
      <c r="I44" s="9">
        <v>450.0</v>
      </c>
      <c r="J44" s="10">
        <v>785.71</v>
      </c>
      <c r="K44" s="6" t="s">
        <v>24</v>
      </c>
      <c r="L44" s="7"/>
      <c r="M44" s="7"/>
      <c r="N44" s="7"/>
      <c r="O44" s="11">
        <v>45988.0</v>
      </c>
      <c r="P44" s="12">
        <f>if(A44='QB Import materials'!A43,0,1)</f>
        <v>0</v>
      </c>
    </row>
    <row r="45" ht="22.5" customHeight="1">
      <c r="A45" s="6" t="s">
        <v>108</v>
      </c>
      <c r="B45" s="6" t="s">
        <v>109</v>
      </c>
      <c r="C45" s="6" t="s">
        <v>27</v>
      </c>
      <c r="D45" s="7"/>
      <c r="E45" s="6" t="s">
        <v>108</v>
      </c>
      <c r="F45" s="7"/>
      <c r="G45" s="6" t="s">
        <v>19</v>
      </c>
      <c r="H45" s="8">
        <v>0.0</v>
      </c>
      <c r="I45" s="9">
        <v>360.0</v>
      </c>
      <c r="J45" s="10">
        <v>785.71</v>
      </c>
      <c r="K45" s="6" t="s">
        <v>24</v>
      </c>
      <c r="L45" s="7"/>
      <c r="M45" s="7"/>
      <c r="N45" s="7"/>
      <c r="O45" s="11">
        <v>45988.0</v>
      </c>
      <c r="P45" s="12">
        <f>if(A45='QB Import materials'!A44,0,1)</f>
        <v>0</v>
      </c>
    </row>
    <row r="46" ht="22.5" customHeight="1">
      <c r="A46" s="6" t="s">
        <v>110</v>
      </c>
      <c r="B46" s="6" t="s">
        <v>111</v>
      </c>
      <c r="C46" s="6" t="s">
        <v>27</v>
      </c>
      <c r="D46" s="7"/>
      <c r="E46" s="6" t="s">
        <v>110</v>
      </c>
      <c r="F46" s="7"/>
      <c r="G46" s="6" t="s">
        <v>19</v>
      </c>
      <c r="H46" s="8">
        <v>0.0</v>
      </c>
      <c r="I46" s="9">
        <v>650.0</v>
      </c>
      <c r="J46" s="10">
        <v>1134.9</v>
      </c>
      <c r="K46" s="6" t="s">
        <v>24</v>
      </c>
      <c r="L46" s="7"/>
      <c r="M46" s="7"/>
      <c r="N46" s="7"/>
      <c r="O46" s="11">
        <v>45988.0</v>
      </c>
      <c r="P46" s="12">
        <f>if(A46='QB Import materials'!A45,0,1)</f>
        <v>0</v>
      </c>
    </row>
    <row r="47" ht="22.5" customHeight="1">
      <c r="A47" s="6" t="s">
        <v>112</v>
      </c>
      <c r="B47" s="6" t="s">
        <v>113</v>
      </c>
      <c r="C47" s="6" t="s">
        <v>27</v>
      </c>
      <c r="D47" s="7"/>
      <c r="E47" s="6" t="s">
        <v>112</v>
      </c>
      <c r="F47" s="7"/>
      <c r="G47" s="6" t="s">
        <v>19</v>
      </c>
      <c r="H47" s="8">
        <v>0.0</v>
      </c>
      <c r="I47" s="9">
        <v>580.0</v>
      </c>
      <c r="J47" s="10">
        <v>1012.7</v>
      </c>
      <c r="K47" s="6" t="s">
        <v>24</v>
      </c>
      <c r="L47" s="7"/>
      <c r="M47" s="7"/>
      <c r="N47" s="7"/>
      <c r="O47" s="11">
        <v>45988.0</v>
      </c>
      <c r="P47" s="12">
        <f>if(A47='QB Import materials'!A46,0,1)</f>
        <v>0</v>
      </c>
    </row>
    <row r="48" ht="22.5" customHeight="1">
      <c r="A48" s="6" t="s">
        <v>114</v>
      </c>
      <c r="B48" s="6" t="s">
        <v>115</v>
      </c>
      <c r="C48" s="6" t="s">
        <v>27</v>
      </c>
      <c r="D48" s="7"/>
      <c r="E48" s="6" t="s">
        <v>114</v>
      </c>
      <c r="F48" s="7"/>
      <c r="G48" s="6" t="s">
        <v>116</v>
      </c>
      <c r="H48" s="8">
        <v>0.0</v>
      </c>
      <c r="I48" s="9">
        <v>7.5</v>
      </c>
      <c r="J48" s="10">
        <v>12.54</v>
      </c>
      <c r="K48" s="7"/>
      <c r="L48" s="7"/>
      <c r="M48" s="7"/>
      <c r="N48" s="7"/>
      <c r="O48" s="11">
        <v>45988.0</v>
      </c>
      <c r="P48" s="12">
        <f>if(A48='QB Import materials'!A47,0,1)</f>
        <v>0</v>
      </c>
    </row>
    <row r="49" ht="22.5" customHeight="1">
      <c r="A49" s="6" t="s">
        <v>117</v>
      </c>
      <c r="B49" s="6" t="s">
        <v>118</v>
      </c>
      <c r="C49" s="6" t="s">
        <v>27</v>
      </c>
      <c r="D49" s="7"/>
      <c r="E49" s="6" t="s">
        <v>117</v>
      </c>
      <c r="F49" s="7"/>
      <c r="G49" s="6" t="s">
        <v>19</v>
      </c>
      <c r="H49" s="8">
        <v>0.0</v>
      </c>
      <c r="I49" s="9">
        <v>2.15</v>
      </c>
      <c r="J49" s="10">
        <v>4.9</v>
      </c>
      <c r="K49" s="6" t="s">
        <v>24</v>
      </c>
      <c r="L49" s="7"/>
      <c r="M49" s="7"/>
      <c r="N49" s="7"/>
      <c r="O49" s="13">
        <v>45989.0</v>
      </c>
      <c r="P49" s="12">
        <f>if(A49='QB Import materials'!A48,0,1)</f>
        <v>0</v>
      </c>
    </row>
    <row r="50" ht="22.5" customHeight="1">
      <c r="A50" s="6" t="s">
        <v>119</v>
      </c>
      <c r="B50" s="6" t="s">
        <v>120</v>
      </c>
      <c r="C50" s="6" t="s">
        <v>27</v>
      </c>
      <c r="D50" s="7"/>
      <c r="E50" s="6" t="s">
        <v>119</v>
      </c>
      <c r="F50" s="7"/>
      <c r="G50" s="6" t="s">
        <v>121</v>
      </c>
      <c r="H50" s="8">
        <v>0.0</v>
      </c>
      <c r="I50" s="9">
        <v>375.0</v>
      </c>
      <c r="J50" s="10">
        <v>431.0</v>
      </c>
      <c r="K50" s="7"/>
      <c r="L50" s="7"/>
      <c r="M50" s="7"/>
      <c r="N50" s="7"/>
      <c r="O50" s="11">
        <v>45988.0</v>
      </c>
      <c r="P50" s="12">
        <f>if(A50='QB Import materials'!A49,0,1)</f>
        <v>0</v>
      </c>
    </row>
    <row r="51" ht="22.5" customHeight="1">
      <c r="A51" s="6" t="s">
        <v>122</v>
      </c>
      <c r="B51" s="6" t="s">
        <v>123</v>
      </c>
      <c r="C51" s="6" t="s">
        <v>27</v>
      </c>
      <c r="D51" s="7"/>
      <c r="E51" s="6" t="s">
        <v>122</v>
      </c>
      <c r="F51" s="7"/>
      <c r="G51" s="6" t="s">
        <v>19</v>
      </c>
      <c r="H51" s="8">
        <v>0.0</v>
      </c>
      <c r="I51" s="9">
        <v>432.0</v>
      </c>
      <c r="J51" s="10">
        <v>722.09</v>
      </c>
      <c r="K51" s="14"/>
      <c r="L51" s="7"/>
      <c r="M51" s="7"/>
      <c r="N51" s="7"/>
      <c r="O51" s="11">
        <v>45988.0</v>
      </c>
      <c r="P51" s="12">
        <f>if(A51='QB Import materials'!A50,0,1)</f>
        <v>0</v>
      </c>
    </row>
    <row r="52" ht="22.5" customHeight="1">
      <c r="A52" s="6" t="s">
        <v>124</v>
      </c>
      <c r="B52" s="6" t="s">
        <v>125</v>
      </c>
      <c r="C52" s="6" t="s">
        <v>27</v>
      </c>
      <c r="D52" s="7"/>
      <c r="E52" s="6" t="s">
        <v>124</v>
      </c>
      <c r="F52" s="7"/>
      <c r="G52" s="6" t="s">
        <v>19</v>
      </c>
      <c r="H52" s="8">
        <v>0.0</v>
      </c>
      <c r="I52" s="9">
        <v>6.34</v>
      </c>
      <c r="J52" s="10">
        <v>10.6</v>
      </c>
      <c r="K52" s="14"/>
      <c r="L52" s="7"/>
      <c r="M52" s="7"/>
      <c r="N52" s="7"/>
      <c r="O52" s="11">
        <v>45989.0</v>
      </c>
      <c r="P52" s="12">
        <f>if(A52='QB Import materials'!A51,0,1)</f>
        <v>0</v>
      </c>
    </row>
    <row r="53" ht="22.5" customHeight="1">
      <c r="A53" s="6" t="s">
        <v>126</v>
      </c>
      <c r="B53" s="6" t="s">
        <v>127</v>
      </c>
      <c r="C53" s="6" t="s">
        <v>27</v>
      </c>
      <c r="D53" s="7"/>
      <c r="E53" s="6" t="s">
        <v>126</v>
      </c>
      <c r="F53" s="7"/>
      <c r="G53" s="6" t="s">
        <v>19</v>
      </c>
      <c r="H53" s="8">
        <v>0.0</v>
      </c>
      <c r="I53" s="9">
        <v>1.4</v>
      </c>
      <c r="J53" s="10">
        <v>2.34</v>
      </c>
      <c r="K53" s="14"/>
      <c r="L53" s="7"/>
      <c r="M53" s="7"/>
      <c r="N53" s="7"/>
      <c r="O53" s="11">
        <v>45988.0</v>
      </c>
      <c r="P53" s="12">
        <f>if(A53='QB Import materials'!A52,0,1)</f>
        <v>0</v>
      </c>
    </row>
    <row r="54" ht="22.5" customHeight="1">
      <c r="A54" s="6" t="s">
        <v>128</v>
      </c>
      <c r="B54" s="6" t="s">
        <v>129</v>
      </c>
      <c r="C54" s="6" t="s">
        <v>27</v>
      </c>
      <c r="D54" s="7"/>
      <c r="E54" s="6" t="s">
        <v>128</v>
      </c>
      <c r="F54" s="7"/>
      <c r="G54" s="6" t="s">
        <v>93</v>
      </c>
      <c r="H54" s="8">
        <v>0.0</v>
      </c>
      <c r="I54" s="9">
        <v>1.0</v>
      </c>
      <c r="J54" s="10">
        <v>1.67</v>
      </c>
      <c r="K54" s="7"/>
      <c r="L54" s="7"/>
      <c r="M54" s="7"/>
      <c r="N54" s="7"/>
      <c r="O54" s="11">
        <v>45958.0</v>
      </c>
      <c r="P54" s="12">
        <f>if(A54='QB Import materials'!A53,0,1)</f>
        <v>0</v>
      </c>
    </row>
    <row r="55" ht="22.5" customHeight="1">
      <c r="A55" s="6" t="s">
        <v>130</v>
      </c>
      <c r="B55" s="6" t="s">
        <v>131</v>
      </c>
      <c r="C55" s="6" t="s">
        <v>27</v>
      </c>
      <c r="D55" s="7"/>
      <c r="E55" s="6" t="s">
        <v>130</v>
      </c>
      <c r="F55" s="7"/>
      <c r="G55" s="6" t="s">
        <v>23</v>
      </c>
      <c r="H55" s="8">
        <v>0.0</v>
      </c>
      <c r="I55" s="9">
        <v>2.42</v>
      </c>
      <c r="J55" s="10">
        <v>2.78</v>
      </c>
      <c r="K55" s="6" t="s">
        <v>24</v>
      </c>
      <c r="L55" s="7"/>
      <c r="M55" s="7"/>
      <c r="N55" s="7"/>
      <c r="O55" s="11">
        <v>45988.0</v>
      </c>
      <c r="P55" s="12">
        <f>if(A55='QB Import materials'!A54,0,1)</f>
        <v>0</v>
      </c>
    </row>
    <row r="56" ht="22.5" customHeight="1">
      <c r="A56" s="6" t="s">
        <v>132</v>
      </c>
      <c r="B56" s="6" t="s">
        <v>133</v>
      </c>
      <c r="C56" s="6" t="s">
        <v>27</v>
      </c>
      <c r="D56" s="7"/>
      <c r="E56" s="6" t="s">
        <v>132</v>
      </c>
      <c r="F56" s="7"/>
      <c r="G56" s="6" t="s">
        <v>134</v>
      </c>
      <c r="H56" s="8">
        <v>0.0</v>
      </c>
      <c r="I56" s="9">
        <v>58.0</v>
      </c>
      <c r="J56" s="10">
        <v>67.0</v>
      </c>
      <c r="K56" s="14"/>
      <c r="L56" s="7"/>
      <c r="M56" s="7"/>
      <c r="N56" s="7"/>
      <c r="O56" s="11">
        <v>45988.0</v>
      </c>
      <c r="P56" s="12">
        <f>if(A56='QB Import materials'!A55,0,1)</f>
        <v>0</v>
      </c>
    </row>
    <row r="57" ht="22.5" customHeight="1">
      <c r="A57" s="6" t="s">
        <v>135</v>
      </c>
      <c r="B57" s="6" t="s">
        <v>136</v>
      </c>
      <c r="C57" s="6" t="s">
        <v>27</v>
      </c>
      <c r="D57" s="7"/>
      <c r="E57" s="6" t="s">
        <v>135</v>
      </c>
      <c r="F57" s="7"/>
      <c r="G57" s="6" t="s">
        <v>19</v>
      </c>
      <c r="H57" s="8">
        <v>0.0</v>
      </c>
      <c r="I57" s="9">
        <v>2.47</v>
      </c>
      <c r="J57" s="10">
        <v>9.95</v>
      </c>
      <c r="K57" s="6" t="s">
        <v>24</v>
      </c>
      <c r="L57" s="7"/>
      <c r="M57" s="7"/>
      <c r="N57" s="7"/>
      <c r="O57" s="11">
        <v>45989.0</v>
      </c>
      <c r="P57" s="12">
        <f>if(A57='QB Import materials'!A56,0,1)</f>
        <v>0</v>
      </c>
    </row>
    <row r="58" ht="22.5" customHeight="1">
      <c r="A58" s="6" t="s">
        <v>137</v>
      </c>
      <c r="B58" s="6" t="s">
        <v>138</v>
      </c>
      <c r="C58" s="6" t="s">
        <v>27</v>
      </c>
      <c r="D58" s="7"/>
      <c r="E58" s="6" t="s">
        <v>137</v>
      </c>
      <c r="F58" s="7"/>
      <c r="G58" s="6" t="s">
        <v>134</v>
      </c>
      <c r="H58" s="8">
        <v>0.0</v>
      </c>
      <c r="I58" s="9">
        <v>59.0</v>
      </c>
      <c r="J58" s="10">
        <v>59.0</v>
      </c>
      <c r="K58" s="6" t="s">
        <v>24</v>
      </c>
      <c r="L58" s="7"/>
      <c r="M58" s="7"/>
      <c r="N58" s="7"/>
      <c r="O58" s="11">
        <v>45989.0</v>
      </c>
      <c r="P58" s="12">
        <f>if(A58='QB Import materials'!A57,0,1)</f>
        <v>0</v>
      </c>
    </row>
    <row r="59" ht="22.5" customHeight="1">
      <c r="A59" s="6" t="s">
        <v>139</v>
      </c>
      <c r="B59" s="6" t="s">
        <v>140</v>
      </c>
      <c r="C59" s="6" t="s">
        <v>27</v>
      </c>
      <c r="D59" s="7"/>
      <c r="E59" s="6" t="s">
        <v>139</v>
      </c>
      <c r="F59" s="7"/>
      <c r="G59" s="6" t="s">
        <v>134</v>
      </c>
      <c r="H59" s="8">
        <v>0.0</v>
      </c>
      <c r="I59" s="9">
        <v>181.0</v>
      </c>
      <c r="J59" s="10">
        <v>240.0</v>
      </c>
      <c r="K59" s="6" t="s">
        <v>24</v>
      </c>
      <c r="L59" s="7"/>
      <c r="M59" s="7"/>
      <c r="N59" s="7"/>
      <c r="O59" s="11">
        <v>45988.0</v>
      </c>
      <c r="P59" s="12">
        <f>if(A59='QB Import materials'!A58,0,1)</f>
        <v>0</v>
      </c>
    </row>
    <row r="60" ht="22.5" customHeight="1">
      <c r="A60" s="6" t="s">
        <v>141</v>
      </c>
      <c r="B60" s="6" t="s">
        <v>142</v>
      </c>
      <c r="C60" s="6" t="s">
        <v>27</v>
      </c>
      <c r="D60" s="7"/>
      <c r="E60" s="6" t="s">
        <v>141</v>
      </c>
      <c r="F60" s="7"/>
      <c r="G60" s="6" t="s">
        <v>19</v>
      </c>
      <c r="H60" s="8">
        <v>0.0</v>
      </c>
      <c r="I60" s="9">
        <v>7.0</v>
      </c>
      <c r="J60" s="10">
        <v>11.7</v>
      </c>
      <c r="K60" s="14"/>
      <c r="L60" s="7"/>
      <c r="M60" s="7"/>
      <c r="N60" s="7"/>
      <c r="O60" s="11">
        <v>45988.0</v>
      </c>
      <c r="P60" s="12">
        <f>if(A60='QB Import materials'!A59,0,1)</f>
        <v>0</v>
      </c>
    </row>
    <row r="61" ht="22.5" customHeight="1">
      <c r="A61" s="6" t="s">
        <v>143</v>
      </c>
      <c r="B61" s="6" t="s">
        <v>144</v>
      </c>
      <c r="C61" s="6" t="s">
        <v>27</v>
      </c>
      <c r="D61" s="7"/>
      <c r="E61" s="6" t="s">
        <v>143</v>
      </c>
      <c r="F61" s="7"/>
      <c r="G61" s="6" t="s">
        <v>19</v>
      </c>
      <c r="H61" s="8">
        <v>0.0</v>
      </c>
      <c r="I61" s="9">
        <v>180.29</v>
      </c>
      <c r="J61" s="10">
        <v>385.63</v>
      </c>
      <c r="K61" s="6" t="s">
        <v>24</v>
      </c>
      <c r="L61" s="7"/>
      <c r="M61" s="7"/>
      <c r="N61" s="7"/>
      <c r="O61" s="11">
        <v>45988.0</v>
      </c>
      <c r="P61" s="12">
        <f>if(A61='QB Import materials'!A60,0,1)</f>
        <v>0</v>
      </c>
    </row>
    <row r="62" ht="22.5" customHeight="1">
      <c r="A62" s="6" t="s">
        <v>145</v>
      </c>
      <c r="B62" s="6" t="s">
        <v>146</v>
      </c>
      <c r="C62" s="6" t="s">
        <v>27</v>
      </c>
      <c r="D62" s="7"/>
      <c r="E62" s="6" t="s">
        <v>145</v>
      </c>
      <c r="F62" s="7"/>
      <c r="G62" s="6" t="s">
        <v>19</v>
      </c>
      <c r="H62" s="8">
        <v>0.0</v>
      </c>
      <c r="I62" s="9">
        <v>139.13</v>
      </c>
      <c r="J62" s="10">
        <v>292.02</v>
      </c>
      <c r="K62" s="6" t="s">
        <v>24</v>
      </c>
      <c r="L62" s="7"/>
      <c r="M62" s="7"/>
      <c r="N62" s="7"/>
      <c r="O62" s="11">
        <v>45988.0</v>
      </c>
      <c r="P62" s="12">
        <f>if(A62='QB Import materials'!A61,0,1)</f>
        <v>0</v>
      </c>
    </row>
    <row r="63" ht="22.5" customHeight="1">
      <c r="A63" s="6" t="s">
        <v>147</v>
      </c>
      <c r="B63" s="6" t="s">
        <v>148</v>
      </c>
      <c r="C63" s="6" t="s">
        <v>27</v>
      </c>
      <c r="D63" s="7"/>
      <c r="E63" s="6" t="s">
        <v>147</v>
      </c>
      <c r="F63" s="7"/>
      <c r="G63" s="6" t="s">
        <v>19</v>
      </c>
      <c r="H63" s="8">
        <v>0.0</v>
      </c>
      <c r="I63" s="9">
        <v>1087.03</v>
      </c>
      <c r="J63" s="10">
        <v>2174.7</v>
      </c>
      <c r="K63" s="6" t="s">
        <v>24</v>
      </c>
      <c r="L63" s="7"/>
      <c r="M63" s="7"/>
      <c r="N63" s="7"/>
      <c r="O63" s="11">
        <v>45988.0</v>
      </c>
      <c r="P63" s="12">
        <f>if(A63='QB Import materials'!A62,0,1)</f>
        <v>0</v>
      </c>
    </row>
    <row r="64" ht="22.5" customHeight="1">
      <c r="A64" s="6" t="s">
        <v>149</v>
      </c>
      <c r="B64" s="6" t="s">
        <v>150</v>
      </c>
      <c r="C64" s="6" t="s">
        <v>27</v>
      </c>
      <c r="D64" s="7"/>
      <c r="E64" s="6" t="s">
        <v>149</v>
      </c>
      <c r="F64" s="7"/>
      <c r="G64" s="6" t="s">
        <v>19</v>
      </c>
      <c r="H64" s="8">
        <v>0.0</v>
      </c>
      <c r="I64" s="9">
        <v>127.12</v>
      </c>
      <c r="J64" s="10">
        <v>254.23</v>
      </c>
      <c r="K64" s="6" t="s">
        <v>24</v>
      </c>
      <c r="L64" s="7"/>
      <c r="M64" s="7"/>
      <c r="N64" s="7"/>
      <c r="O64" s="11">
        <v>45988.0</v>
      </c>
      <c r="P64" s="12">
        <f>if(A64='QB Import materials'!A63,0,1)</f>
        <v>0</v>
      </c>
    </row>
    <row r="65" ht="22.5" customHeight="1">
      <c r="A65" s="6" t="s">
        <v>151</v>
      </c>
      <c r="B65" s="6" t="s">
        <v>152</v>
      </c>
      <c r="C65" s="6" t="s">
        <v>27</v>
      </c>
      <c r="D65" s="7"/>
      <c r="E65" s="6" t="s">
        <v>151</v>
      </c>
      <c r="F65" s="7"/>
      <c r="G65" s="6" t="s">
        <v>19</v>
      </c>
      <c r="H65" s="8">
        <v>0.0</v>
      </c>
      <c r="I65" s="9">
        <v>171.99</v>
      </c>
      <c r="J65" s="10">
        <v>343.98</v>
      </c>
      <c r="K65" s="6" t="s">
        <v>24</v>
      </c>
      <c r="L65" s="7"/>
      <c r="M65" s="7"/>
      <c r="N65" s="7"/>
      <c r="O65" s="11">
        <v>45988.0</v>
      </c>
      <c r="P65" s="12">
        <f>if(A65='QB Import materials'!A64,0,1)</f>
        <v>0</v>
      </c>
    </row>
    <row r="66" ht="22.5" customHeight="1">
      <c r="A66" s="6" t="s">
        <v>153</v>
      </c>
      <c r="B66" s="6" t="s">
        <v>154</v>
      </c>
      <c r="C66" s="6" t="s">
        <v>27</v>
      </c>
      <c r="D66" s="7"/>
      <c r="E66" s="6" t="s">
        <v>153</v>
      </c>
      <c r="F66" s="7"/>
      <c r="G66" s="6" t="s">
        <v>19</v>
      </c>
      <c r="H66" s="8">
        <v>0.0</v>
      </c>
      <c r="I66" s="9">
        <v>0.16</v>
      </c>
      <c r="J66" s="10">
        <v>0.32</v>
      </c>
      <c r="K66" s="6" t="s">
        <v>24</v>
      </c>
      <c r="L66" s="7"/>
      <c r="M66" s="7"/>
      <c r="N66" s="7"/>
      <c r="O66" s="11">
        <v>45989.0</v>
      </c>
      <c r="P66" s="12">
        <f>if(A66='QB Import materials'!A65,0,1)</f>
        <v>0</v>
      </c>
    </row>
    <row r="67" ht="22.5" customHeight="1">
      <c r="A67" s="6" t="s">
        <v>155</v>
      </c>
      <c r="B67" s="6" t="s">
        <v>156</v>
      </c>
      <c r="C67" s="6" t="s">
        <v>27</v>
      </c>
      <c r="D67" s="7"/>
      <c r="E67" s="6" t="s">
        <v>155</v>
      </c>
      <c r="F67" s="7"/>
      <c r="G67" s="6" t="s">
        <v>134</v>
      </c>
      <c r="H67" s="8">
        <v>0.0</v>
      </c>
      <c r="I67" s="9">
        <v>23.0</v>
      </c>
      <c r="J67" s="10">
        <v>42.0</v>
      </c>
      <c r="K67" s="6" t="s">
        <v>24</v>
      </c>
      <c r="L67" s="7"/>
      <c r="M67" s="7"/>
      <c r="N67" s="7"/>
      <c r="O67" s="11">
        <v>45988.0</v>
      </c>
      <c r="P67" s="12">
        <f>if(A67='QB Import materials'!A66,0,1)</f>
        <v>0</v>
      </c>
    </row>
    <row r="68" ht="22.5" customHeight="1">
      <c r="A68" s="6" t="s">
        <v>157</v>
      </c>
      <c r="B68" s="6" t="s">
        <v>158</v>
      </c>
      <c r="C68" s="6" t="s">
        <v>27</v>
      </c>
      <c r="D68" s="7"/>
      <c r="E68" s="6" t="s">
        <v>157</v>
      </c>
      <c r="F68" s="7"/>
      <c r="G68" s="6" t="s">
        <v>19</v>
      </c>
      <c r="H68" s="8">
        <v>0.0</v>
      </c>
      <c r="I68" s="9">
        <v>21.79</v>
      </c>
      <c r="J68" s="10">
        <v>61.0</v>
      </c>
      <c r="K68" s="6" t="s">
        <v>24</v>
      </c>
      <c r="L68" s="7"/>
      <c r="M68" s="7"/>
      <c r="N68" s="7"/>
      <c r="O68" s="11">
        <v>45988.0</v>
      </c>
      <c r="P68" s="12">
        <f>if(A68='QB Import materials'!A67,0,1)</f>
        <v>0</v>
      </c>
    </row>
    <row r="69" ht="22.5" customHeight="1">
      <c r="A69" s="6" t="s">
        <v>159</v>
      </c>
      <c r="B69" s="6" t="s">
        <v>160</v>
      </c>
      <c r="C69" s="6" t="s">
        <v>27</v>
      </c>
      <c r="D69" s="7"/>
      <c r="E69" s="6" t="s">
        <v>161</v>
      </c>
      <c r="F69" s="7"/>
      <c r="G69" s="6" t="s">
        <v>19</v>
      </c>
      <c r="H69" s="8">
        <v>0.0</v>
      </c>
      <c r="I69" s="9">
        <v>275.0</v>
      </c>
      <c r="J69" s="10">
        <v>453.12</v>
      </c>
      <c r="K69" s="6" t="s">
        <v>24</v>
      </c>
      <c r="L69" s="7"/>
      <c r="M69" s="7"/>
      <c r="N69" s="7"/>
      <c r="O69" s="13">
        <v>45988.0</v>
      </c>
      <c r="P69" s="12">
        <f>if(A69='QB Import materials'!A68,0,1)</f>
        <v>0</v>
      </c>
    </row>
    <row r="70" ht="22.5" customHeight="1">
      <c r="A70" s="6" t="s">
        <v>162</v>
      </c>
      <c r="B70" s="6" t="s">
        <v>163</v>
      </c>
      <c r="C70" s="6" t="s">
        <v>27</v>
      </c>
      <c r="D70" s="7"/>
      <c r="E70" s="6" t="s">
        <v>164</v>
      </c>
      <c r="F70" s="7"/>
      <c r="G70" s="6" t="s">
        <v>19</v>
      </c>
      <c r="H70" s="8">
        <v>0.0</v>
      </c>
      <c r="I70" s="9">
        <v>242.0</v>
      </c>
      <c r="J70" s="10">
        <v>390.0</v>
      </c>
      <c r="K70" s="6" t="s">
        <v>24</v>
      </c>
      <c r="L70" s="7"/>
      <c r="M70" s="7"/>
      <c r="N70" s="7"/>
      <c r="O70" s="11">
        <v>45988.0</v>
      </c>
      <c r="P70" s="12">
        <f>if(A70='QB Import materials'!A69,0,1)</f>
        <v>0</v>
      </c>
    </row>
    <row r="71" ht="22.5" customHeight="1">
      <c r="A71" s="6" t="s">
        <v>165</v>
      </c>
      <c r="B71" s="6" t="s">
        <v>166</v>
      </c>
      <c r="C71" s="6" t="s">
        <v>27</v>
      </c>
      <c r="D71" s="7"/>
      <c r="E71" s="6" t="s">
        <v>167</v>
      </c>
      <c r="F71" s="7"/>
      <c r="G71" s="6" t="s">
        <v>19</v>
      </c>
      <c r="H71" s="8">
        <v>0.0</v>
      </c>
      <c r="I71" s="9">
        <v>325.0</v>
      </c>
      <c r="J71" s="10">
        <v>495.6</v>
      </c>
      <c r="K71" s="6" t="s">
        <v>24</v>
      </c>
      <c r="L71" s="7"/>
      <c r="M71" s="7"/>
      <c r="N71" s="7"/>
      <c r="O71" s="13">
        <v>45988.0</v>
      </c>
      <c r="P71" s="12">
        <f>if(A71='QB Import materials'!A70,0,1)</f>
        <v>0</v>
      </c>
    </row>
    <row r="72" ht="22.5" customHeight="1">
      <c r="A72" s="6" t="s">
        <v>168</v>
      </c>
      <c r="B72" s="6" t="s">
        <v>169</v>
      </c>
      <c r="C72" s="6" t="s">
        <v>27</v>
      </c>
      <c r="D72" s="7"/>
      <c r="E72" s="6" t="s">
        <v>170</v>
      </c>
      <c r="F72" s="7"/>
      <c r="G72" s="6" t="s">
        <v>19</v>
      </c>
      <c r="H72" s="8">
        <v>0.0</v>
      </c>
      <c r="I72" s="9">
        <v>330.0</v>
      </c>
      <c r="J72" s="10">
        <v>531.0</v>
      </c>
      <c r="K72" s="6" t="s">
        <v>24</v>
      </c>
      <c r="L72" s="7"/>
      <c r="M72" s="7"/>
      <c r="N72" s="7"/>
      <c r="O72" s="13">
        <v>45988.0</v>
      </c>
      <c r="P72" s="12">
        <f>if(A72='QB Import materials'!A71,0,1)</f>
        <v>0</v>
      </c>
    </row>
    <row r="73" ht="22.5" customHeight="1">
      <c r="A73" s="6" t="s">
        <v>171</v>
      </c>
      <c r="B73" s="6" t="s">
        <v>172</v>
      </c>
      <c r="C73" s="6" t="s">
        <v>27</v>
      </c>
      <c r="D73" s="7"/>
      <c r="E73" s="6" t="s">
        <v>173</v>
      </c>
      <c r="F73" s="7"/>
      <c r="G73" s="6" t="s">
        <v>19</v>
      </c>
      <c r="H73" s="8">
        <v>0.0</v>
      </c>
      <c r="I73" s="9">
        <v>300.0</v>
      </c>
      <c r="J73" s="10">
        <v>460.0</v>
      </c>
      <c r="K73" s="6" t="s">
        <v>24</v>
      </c>
      <c r="L73" s="7"/>
      <c r="M73" s="7"/>
      <c r="N73" s="7"/>
      <c r="O73" s="13">
        <v>45988.0</v>
      </c>
      <c r="P73" s="12">
        <f>if(A73='QB Import materials'!A72,0,1)</f>
        <v>0</v>
      </c>
    </row>
    <row r="74" ht="22.5" customHeight="1">
      <c r="A74" s="6" t="s">
        <v>174</v>
      </c>
      <c r="B74" s="6" t="s">
        <v>175</v>
      </c>
      <c r="C74" s="6" t="s">
        <v>27</v>
      </c>
      <c r="D74" s="7"/>
      <c r="E74" s="6" t="s">
        <v>176</v>
      </c>
      <c r="F74" s="7"/>
      <c r="G74" s="6" t="s">
        <v>19</v>
      </c>
      <c r="H74" s="8">
        <v>0.0</v>
      </c>
      <c r="I74" s="9">
        <v>360.0</v>
      </c>
      <c r="J74" s="10">
        <v>575.0</v>
      </c>
      <c r="K74" s="6" t="s">
        <v>24</v>
      </c>
      <c r="L74" s="7"/>
      <c r="M74" s="7"/>
      <c r="N74" s="7"/>
      <c r="O74" s="11">
        <v>45988.0</v>
      </c>
      <c r="P74" s="12">
        <f>if(A74='QB Import materials'!A73,0,1)</f>
        <v>0</v>
      </c>
    </row>
    <row r="75" ht="22.5" customHeight="1">
      <c r="A75" s="6" t="s">
        <v>177</v>
      </c>
      <c r="B75" s="6" t="s">
        <v>178</v>
      </c>
      <c r="C75" s="6" t="s">
        <v>27</v>
      </c>
      <c r="D75" s="7"/>
      <c r="E75" s="6" t="s">
        <v>177</v>
      </c>
      <c r="F75" s="7"/>
      <c r="G75" s="6" t="s">
        <v>19</v>
      </c>
      <c r="H75" s="8">
        <v>0.0</v>
      </c>
      <c r="I75" s="9">
        <v>133.8</v>
      </c>
      <c r="J75" s="10">
        <v>280.83</v>
      </c>
      <c r="K75" s="6" t="s">
        <v>24</v>
      </c>
      <c r="L75" s="7"/>
      <c r="M75" s="7"/>
      <c r="N75" s="7"/>
      <c r="O75" s="11">
        <v>45988.0</v>
      </c>
      <c r="P75" s="12">
        <f>if(A75='QB Import materials'!A74,0,1)</f>
        <v>0</v>
      </c>
    </row>
    <row r="76" ht="22.5" customHeight="1">
      <c r="A76" s="6" t="s">
        <v>179</v>
      </c>
      <c r="B76" s="6" t="s">
        <v>180</v>
      </c>
      <c r="C76" s="6" t="s">
        <v>27</v>
      </c>
      <c r="D76" s="7"/>
      <c r="E76" s="6" t="s">
        <v>179</v>
      </c>
      <c r="F76" s="7"/>
      <c r="G76" s="6" t="s">
        <v>134</v>
      </c>
      <c r="H76" s="8">
        <v>0.0</v>
      </c>
      <c r="I76" s="9">
        <v>96.0</v>
      </c>
      <c r="J76" s="10">
        <v>160.47</v>
      </c>
      <c r="K76" s="7"/>
      <c r="L76" s="7"/>
      <c r="M76" s="7"/>
      <c r="N76" s="7"/>
      <c r="O76" s="11">
        <v>45988.0</v>
      </c>
      <c r="P76" s="12">
        <f>if(A76='QB Import materials'!A75,0,1)</f>
        <v>0</v>
      </c>
    </row>
    <row r="77" ht="22.5" customHeight="1">
      <c r="A77" s="6" t="s">
        <v>181</v>
      </c>
      <c r="B77" s="6" t="s">
        <v>182</v>
      </c>
      <c r="C77" s="6" t="s">
        <v>27</v>
      </c>
      <c r="D77" s="7"/>
      <c r="E77" s="6" t="s">
        <v>181</v>
      </c>
      <c r="F77" s="7"/>
      <c r="G77" s="6" t="s">
        <v>19</v>
      </c>
      <c r="H77" s="8">
        <v>0.0</v>
      </c>
      <c r="I77" s="9">
        <v>15.0</v>
      </c>
      <c r="J77" s="10">
        <v>15.0</v>
      </c>
      <c r="K77" s="6" t="s">
        <v>24</v>
      </c>
      <c r="L77" s="7"/>
      <c r="M77" s="7"/>
      <c r="N77" s="7"/>
      <c r="O77" s="11">
        <v>45988.0</v>
      </c>
      <c r="P77" s="12">
        <f>if(A77='QB Import materials'!A76,0,1)</f>
        <v>0</v>
      </c>
    </row>
    <row r="78" ht="22.5" customHeight="1">
      <c r="A78" s="6" t="s">
        <v>183</v>
      </c>
      <c r="B78" s="6" t="s">
        <v>184</v>
      </c>
      <c r="C78" s="6" t="s">
        <v>27</v>
      </c>
      <c r="D78" s="7"/>
      <c r="E78" s="6" t="s">
        <v>183</v>
      </c>
      <c r="F78" s="7"/>
      <c r="G78" s="6" t="s">
        <v>19</v>
      </c>
      <c r="H78" s="8">
        <v>0.0</v>
      </c>
      <c r="I78" s="9">
        <v>10.0</v>
      </c>
      <c r="J78" s="10">
        <v>10.0</v>
      </c>
      <c r="K78" s="6" t="s">
        <v>24</v>
      </c>
      <c r="L78" s="7"/>
      <c r="M78" s="7"/>
      <c r="N78" s="7"/>
      <c r="O78" s="11">
        <v>45988.0</v>
      </c>
      <c r="P78" s="12">
        <f>if(A78='QB Import materials'!A77,0,1)</f>
        <v>0</v>
      </c>
    </row>
    <row r="79" ht="22.5" customHeight="1">
      <c r="A79" s="6" t="s">
        <v>185</v>
      </c>
      <c r="B79" s="6" t="s">
        <v>186</v>
      </c>
      <c r="C79" s="6" t="s">
        <v>27</v>
      </c>
      <c r="D79" s="7"/>
      <c r="E79" s="6" t="s">
        <v>187</v>
      </c>
      <c r="F79" s="7"/>
      <c r="G79" s="6" t="s">
        <v>19</v>
      </c>
      <c r="H79" s="8">
        <v>0.0</v>
      </c>
      <c r="I79" s="9">
        <v>650.0</v>
      </c>
      <c r="J79" s="10">
        <v>780.0</v>
      </c>
      <c r="K79" s="6" t="s">
        <v>24</v>
      </c>
      <c r="L79" s="7"/>
      <c r="M79" s="7"/>
      <c r="N79" s="7"/>
      <c r="O79" s="11">
        <v>45988.0</v>
      </c>
      <c r="P79" s="12">
        <f>if(A79='QB Import materials'!A78,0,1)</f>
        <v>0</v>
      </c>
    </row>
    <row r="80" ht="22.5" customHeight="1">
      <c r="A80" s="6" t="s">
        <v>188</v>
      </c>
      <c r="B80" s="6" t="s">
        <v>189</v>
      </c>
      <c r="C80" s="6" t="s">
        <v>27</v>
      </c>
      <c r="D80" s="7"/>
      <c r="E80" s="6" t="s">
        <v>190</v>
      </c>
      <c r="F80" s="7"/>
      <c r="G80" s="6" t="s">
        <v>19</v>
      </c>
      <c r="H80" s="8">
        <v>0.0</v>
      </c>
      <c r="I80" s="9">
        <v>250.0</v>
      </c>
      <c r="J80" s="10">
        <v>300.0</v>
      </c>
      <c r="K80" s="6" t="s">
        <v>24</v>
      </c>
      <c r="L80" s="7"/>
      <c r="M80" s="7"/>
      <c r="N80" s="7"/>
      <c r="O80" s="13">
        <v>45988.0</v>
      </c>
      <c r="P80" s="12">
        <f>if(A80='QB Import materials'!A79,0,1)</f>
        <v>0</v>
      </c>
    </row>
    <row r="81" ht="22.5" customHeight="1">
      <c r="A81" s="6" t="s">
        <v>191</v>
      </c>
      <c r="B81" s="6"/>
      <c r="C81" s="6"/>
      <c r="D81" s="7"/>
      <c r="E81" s="6" t="s">
        <v>191</v>
      </c>
      <c r="F81" s="7"/>
      <c r="G81" s="6" t="s">
        <v>19</v>
      </c>
      <c r="H81" s="8"/>
      <c r="I81" s="9"/>
      <c r="J81" s="10">
        <v>250.0</v>
      </c>
      <c r="K81" s="6"/>
      <c r="L81" s="7"/>
      <c r="M81" s="7"/>
      <c r="N81" s="7"/>
      <c r="O81" s="13">
        <v>46143.0</v>
      </c>
      <c r="P81" s="12">
        <f>if(A81='QB Import materials'!A80,0,1)</f>
        <v>0</v>
      </c>
    </row>
    <row r="82" ht="22.5" customHeight="1">
      <c r="A82" s="6" t="s">
        <v>192</v>
      </c>
      <c r="B82" s="6"/>
      <c r="C82" s="6"/>
      <c r="D82" s="7"/>
      <c r="E82" s="6" t="s">
        <v>192</v>
      </c>
      <c r="F82" s="7"/>
      <c r="G82" s="6" t="s">
        <v>19</v>
      </c>
      <c r="H82" s="8"/>
      <c r="I82" s="9"/>
      <c r="J82" s="10">
        <v>100.0</v>
      </c>
      <c r="K82" s="6"/>
      <c r="L82" s="7"/>
      <c r="M82" s="7"/>
      <c r="N82" s="7"/>
      <c r="O82" s="13">
        <v>46143.0</v>
      </c>
      <c r="P82" s="12">
        <f>if(A82='QB Import materials'!A81,0,1)</f>
        <v>0</v>
      </c>
    </row>
    <row r="83" ht="22.5" customHeight="1">
      <c r="A83" s="6" t="s">
        <v>193</v>
      </c>
      <c r="B83" s="6" t="s">
        <v>194</v>
      </c>
      <c r="C83" s="6" t="s">
        <v>27</v>
      </c>
      <c r="D83" s="7"/>
      <c r="E83" s="6" t="s">
        <v>193</v>
      </c>
      <c r="F83" s="7"/>
      <c r="G83" s="6" t="s">
        <v>19</v>
      </c>
      <c r="H83" s="8">
        <v>0.0</v>
      </c>
      <c r="I83" s="9">
        <v>825.0</v>
      </c>
      <c r="J83" s="10">
        <v>1379.0</v>
      </c>
      <c r="K83" s="7"/>
      <c r="L83" s="15"/>
      <c r="M83" s="7"/>
      <c r="N83" s="7"/>
      <c r="O83" s="11">
        <v>45988.0</v>
      </c>
      <c r="P83" s="12">
        <f>if(A83='QB Import materials'!A82,0,1)</f>
        <v>0</v>
      </c>
    </row>
    <row r="84" ht="22.5" customHeight="1">
      <c r="A84" s="6" t="s">
        <v>195</v>
      </c>
      <c r="B84" s="6" t="s">
        <v>196</v>
      </c>
      <c r="C84" s="6" t="s">
        <v>27</v>
      </c>
      <c r="D84" s="7"/>
      <c r="E84" s="6" t="s">
        <v>195</v>
      </c>
      <c r="F84" s="7"/>
      <c r="G84" s="6" t="s">
        <v>19</v>
      </c>
      <c r="H84" s="8">
        <v>0.0</v>
      </c>
      <c r="I84" s="9">
        <v>345.0</v>
      </c>
      <c r="J84" s="10">
        <v>576.67</v>
      </c>
      <c r="K84" s="7"/>
      <c r="L84" s="7"/>
      <c r="M84" s="7"/>
      <c r="N84" s="7"/>
      <c r="O84" s="11">
        <v>45988.0</v>
      </c>
      <c r="P84" s="12">
        <f>if(A84='QB Import materials'!A83,0,1)</f>
        <v>0</v>
      </c>
    </row>
    <row r="85" ht="22.5" customHeight="1">
      <c r="A85" s="6" t="s">
        <v>197</v>
      </c>
      <c r="B85" s="6" t="s">
        <v>198</v>
      </c>
      <c r="C85" s="6" t="s">
        <v>27</v>
      </c>
      <c r="D85" s="7"/>
      <c r="E85" s="6" t="s">
        <v>197</v>
      </c>
      <c r="F85" s="7"/>
      <c r="G85" s="6" t="s">
        <v>19</v>
      </c>
      <c r="H85" s="8">
        <v>0.0</v>
      </c>
      <c r="I85" s="9">
        <v>375.0</v>
      </c>
      <c r="J85" s="10">
        <v>626.82</v>
      </c>
      <c r="K85" s="14"/>
      <c r="L85" s="7"/>
      <c r="M85" s="7"/>
      <c r="N85" s="7"/>
      <c r="O85" s="13">
        <v>45988.0</v>
      </c>
      <c r="P85" s="12">
        <f>if(A85='QB Import materials'!A84,0,1)</f>
        <v>0</v>
      </c>
    </row>
    <row r="86" ht="22.5" customHeight="1">
      <c r="A86" s="6" t="s">
        <v>199</v>
      </c>
      <c r="B86" s="6" t="s">
        <v>200</v>
      </c>
      <c r="C86" s="6" t="s">
        <v>27</v>
      </c>
      <c r="D86" s="7"/>
      <c r="E86" s="6" t="s">
        <v>199</v>
      </c>
      <c r="F86" s="7"/>
      <c r="G86" s="6" t="s">
        <v>19</v>
      </c>
      <c r="H86" s="8">
        <v>0.0</v>
      </c>
      <c r="I86" s="9">
        <v>445.0</v>
      </c>
      <c r="J86" s="10">
        <v>743.82</v>
      </c>
      <c r="K86" s="7"/>
      <c r="L86" s="7"/>
      <c r="M86" s="7"/>
      <c r="N86" s="7"/>
      <c r="O86" s="11">
        <v>45988.0</v>
      </c>
      <c r="P86" s="12">
        <f>if(A86='QB Import materials'!A85,0,1)</f>
        <v>0</v>
      </c>
    </row>
    <row r="87" ht="22.5" customHeight="1">
      <c r="A87" s="6" t="s">
        <v>201</v>
      </c>
      <c r="B87" s="6" t="s">
        <v>202</v>
      </c>
      <c r="C87" s="6" t="s">
        <v>27</v>
      </c>
      <c r="D87" s="7"/>
      <c r="E87" s="6" t="s">
        <v>201</v>
      </c>
      <c r="F87" s="7"/>
      <c r="G87" s="6" t="s">
        <v>19</v>
      </c>
      <c r="H87" s="8">
        <v>0.0</v>
      </c>
      <c r="I87" s="9">
        <v>675.0</v>
      </c>
      <c r="J87" s="10">
        <v>1128.27</v>
      </c>
      <c r="K87" s="7"/>
      <c r="L87" s="7"/>
      <c r="M87" s="7"/>
      <c r="N87" s="7"/>
      <c r="O87" s="11">
        <v>45988.0</v>
      </c>
      <c r="P87" s="12">
        <f>if(A87='QB Import materials'!A86,0,1)</f>
        <v>0</v>
      </c>
    </row>
    <row r="88" ht="22.5" customHeight="1">
      <c r="A88" s="6" t="s">
        <v>203</v>
      </c>
      <c r="B88" s="6" t="s">
        <v>204</v>
      </c>
      <c r="C88" s="6" t="s">
        <v>27</v>
      </c>
      <c r="D88" s="7"/>
      <c r="E88" s="6" t="s">
        <v>203</v>
      </c>
      <c r="F88" s="7"/>
      <c r="G88" s="6" t="s">
        <v>19</v>
      </c>
      <c r="H88" s="8">
        <v>0.0</v>
      </c>
      <c r="I88" s="9">
        <v>0.3</v>
      </c>
      <c r="J88" s="10">
        <v>0.61</v>
      </c>
      <c r="K88" s="7"/>
      <c r="L88" s="7"/>
      <c r="M88" s="7"/>
      <c r="N88" s="7"/>
      <c r="O88" s="11">
        <v>45989.0</v>
      </c>
      <c r="P88" s="12">
        <f>if(A88='QB Import materials'!A87,0,1)</f>
        <v>0</v>
      </c>
    </row>
    <row r="89" ht="22.5" customHeight="1">
      <c r="A89" s="6" t="s">
        <v>205</v>
      </c>
      <c r="B89" s="6" t="s">
        <v>206</v>
      </c>
      <c r="C89" s="6"/>
      <c r="D89" s="7"/>
      <c r="E89" s="6" t="s">
        <v>207</v>
      </c>
      <c r="F89" s="7"/>
      <c r="G89" s="6" t="s">
        <v>19</v>
      </c>
      <c r="H89" s="8"/>
      <c r="I89" s="9">
        <v>35.0</v>
      </c>
      <c r="J89" s="10">
        <v>55.0</v>
      </c>
      <c r="K89" s="6"/>
      <c r="L89" s="7"/>
      <c r="M89" s="7"/>
      <c r="N89" s="7"/>
      <c r="O89" s="13"/>
      <c r="P89" s="12">
        <f>if(A89='QB Import materials'!A88,0,1)</f>
        <v>0</v>
      </c>
    </row>
    <row r="90" ht="22.5" customHeight="1">
      <c r="A90" s="6" t="s">
        <v>208</v>
      </c>
      <c r="B90" s="6" t="s">
        <v>209</v>
      </c>
      <c r="C90" s="6" t="s">
        <v>27</v>
      </c>
      <c r="D90" s="7"/>
      <c r="E90" s="6" t="s">
        <v>210</v>
      </c>
      <c r="F90" s="7"/>
      <c r="G90" s="6" t="s">
        <v>19</v>
      </c>
      <c r="H90" s="8">
        <v>0.0</v>
      </c>
      <c r="I90" s="9">
        <v>35.0</v>
      </c>
      <c r="J90" s="10">
        <v>55.0</v>
      </c>
      <c r="K90" s="6" t="s">
        <v>24</v>
      </c>
      <c r="L90" s="7"/>
      <c r="M90" s="7"/>
      <c r="N90" s="7"/>
      <c r="O90" s="13">
        <v>45988.0</v>
      </c>
      <c r="P90" s="12">
        <f>if(A90='QB Import materials'!A89,0,1)</f>
        <v>0</v>
      </c>
    </row>
    <row r="91" ht="22.5" customHeight="1">
      <c r="A91" s="6" t="s">
        <v>211</v>
      </c>
      <c r="B91" s="6" t="s">
        <v>212</v>
      </c>
      <c r="C91" s="6" t="s">
        <v>27</v>
      </c>
      <c r="D91" s="7"/>
      <c r="E91" s="6" t="s">
        <v>211</v>
      </c>
      <c r="F91" s="7"/>
      <c r="G91" s="6" t="s">
        <v>23</v>
      </c>
      <c r="H91" s="8">
        <v>0.0</v>
      </c>
      <c r="I91" s="9">
        <v>2.09</v>
      </c>
      <c r="J91" s="10">
        <v>4.69</v>
      </c>
      <c r="K91" s="14"/>
      <c r="L91" s="16">
        <v>0.31</v>
      </c>
      <c r="M91" s="7"/>
      <c r="N91" s="7"/>
      <c r="O91" s="13">
        <v>45989.0</v>
      </c>
      <c r="P91" s="12">
        <f>if(A91='QB Import materials'!A90,0,1)</f>
        <v>0</v>
      </c>
    </row>
    <row r="92" ht="22.5" customHeight="1">
      <c r="A92" s="6" t="s">
        <v>213</v>
      </c>
      <c r="B92" s="6" t="s">
        <v>214</v>
      </c>
      <c r="C92" s="6" t="s">
        <v>27</v>
      </c>
      <c r="D92" s="7"/>
      <c r="E92" s="6" t="s">
        <v>215</v>
      </c>
      <c r="F92" s="7"/>
      <c r="G92" s="6" t="s">
        <v>19</v>
      </c>
      <c r="H92" s="8">
        <v>0.0</v>
      </c>
      <c r="I92" s="9">
        <v>12.0</v>
      </c>
      <c r="J92" s="10">
        <v>20.06</v>
      </c>
      <c r="K92" s="14"/>
      <c r="L92" s="7"/>
      <c r="M92" s="7"/>
      <c r="N92" s="7"/>
      <c r="O92" s="13">
        <v>45988.0</v>
      </c>
      <c r="P92" s="12">
        <f>if(A92='QB Import materials'!A91,0,1)</f>
        <v>0</v>
      </c>
    </row>
    <row r="93" ht="22.5" customHeight="1">
      <c r="A93" s="6" t="s">
        <v>216</v>
      </c>
      <c r="B93" s="6" t="s">
        <v>217</v>
      </c>
      <c r="C93" s="6" t="s">
        <v>27</v>
      </c>
      <c r="D93" s="7"/>
      <c r="E93" s="6" t="s">
        <v>216</v>
      </c>
      <c r="F93" s="7"/>
      <c r="G93" s="6" t="s">
        <v>19</v>
      </c>
      <c r="H93" s="8">
        <v>0.0</v>
      </c>
      <c r="I93" s="9">
        <v>14.75</v>
      </c>
      <c r="J93" s="10">
        <v>21.0</v>
      </c>
      <c r="K93" s="6" t="s">
        <v>24</v>
      </c>
      <c r="L93" s="7"/>
      <c r="M93" s="7"/>
      <c r="N93" s="7"/>
      <c r="O93" s="11">
        <v>45989.0</v>
      </c>
      <c r="P93" s="12">
        <f>if(A93='QB Import materials'!A92,0,1)</f>
        <v>0</v>
      </c>
    </row>
    <row r="94" ht="22.5" customHeight="1">
      <c r="A94" s="6" t="s">
        <v>218</v>
      </c>
      <c r="B94" s="6" t="s">
        <v>219</v>
      </c>
      <c r="C94" s="6" t="s">
        <v>27</v>
      </c>
      <c r="D94" s="7"/>
      <c r="E94" s="6" t="s">
        <v>218</v>
      </c>
      <c r="F94" s="7"/>
      <c r="G94" s="6" t="s">
        <v>23</v>
      </c>
      <c r="H94" s="8">
        <v>0.0</v>
      </c>
      <c r="I94" s="9">
        <v>5.04</v>
      </c>
      <c r="J94" s="10">
        <v>8.42</v>
      </c>
      <c r="K94" s="7"/>
      <c r="L94" s="7"/>
      <c r="M94" s="7"/>
      <c r="N94" s="7"/>
      <c r="O94" s="11">
        <v>45988.0</v>
      </c>
      <c r="P94" s="12">
        <f>if(A94='QB Import materials'!A93,0,1)</f>
        <v>0</v>
      </c>
    </row>
    <row r="95" ht="22.5" customHeight="1">
      <c r="A95" s="6" t="s">
        <v>220</v>
      </c>
      <c r="B95" s="6" t="s">
        <v>221</v>
      </c>
      <c r="C95" s="6" t="s">
        <v>27</v>
      </c>
      <c r="D95" s="7"/>
      <c r="E95" s="6" t="s">
        <v>220</v>
      </c>
      <c r="F95" s="7"/>
      <c r="G95" s="6" t="s">
        <v>23</v>
      </c>
      <c r="H95" s="8">
        <v>0.0</v>
      </c>
      <c r="I95" s="9">
        <v>4.07</v>
      </c>
      <c r="J95" s="10">
        <v>6.8</v>
      </c>
      <c r="K95" s="7"/>
      <c r="L95" s="7"/>
      <c r="M95" s="7"/>
      <c r="N95" s="7"/>
      <c r="O95" s="11">
        <v>45988.0</v>
      </c>
      <c r="P95" s="12">
        <f>if(A95='QB Import materials'!A94,0,1)</f>
        <v>0</v>
      </c>
    </row>
    <row r="96" ht="22.5" customHeight="1">
      <c r="A96" s="6" t="s">
        <v>222</v>
      </c>
      <c r="B96" s="6" t="s">
        <v>223</v>
      </c>
      <c r="C96" s="6" t="s">
        <v>27</v>
      </c>
      <c r="D96" s="7"/>
      <c r="E96" s="6" t="s">
        <v>222</v>
      </c>
      <c r="F96" s="7"/>
      <c r="G96" s="6" t="s">
        <v>116</v>
      </c>
      <c r="H96" s="8">
        <v>0.0</v>
      </c>
      <c r="I96" s="9">
        <v>0.33</v>
      </c>
      <c r="J96" s="10">
        <v>0.37</v>
      </c>
      <c r="K96" s="7"/>
      <c r="L96" s="7"/>
      <c r="M96" s="7"/>
      <c r="N96" s="7"/>
      <c r="O96" s="11">
        <v>45989.0</v>
      </c>
      <c r="P96" s="12">
        <f>if(A96='QB Import materials'!A95,0,1)</f>
        <v>0</v>
      </c>
    </row>
    <row r="97" ht="22.5" customHeight="1">
      <c r="A97" s="6" t="s">
        <v>224</v>
      </c>
      <c r="B97" s="6" t="s">
        <v>225</v>
      </c>
      <c r="C97" s="6" t="s">
        <v>27</v>
      </c>
      <c r="D97" s="7"/>
      <c r="E97" s="6" t="s">
        <v>224</v>
      </c>
      <c r="F97" s="7"/>
      <c r="G97" s="6" t="s">
        <v>19</v>
      </c>
      <c r="H97" s="8">
        <v>0.0</v>
      </c>
      <c r="I97" s="9">
        <v>34.82</v>
      </c>
      <c r="J97" s="10">
        <v>55.0</v>
      </c>
      <c r="K97" s="6" t="s">
        <v>24</v>
      </c>
      <c r="L97" s="7"/>
      <c r="M97" s="7"/>
      <c r="N97" s="7"/>
      <c r="O97" s="11">
        <v>45989.0</v>
      </c>
      <c r="P97" s="12">
        <f>if(A97='QB Import materials'!A96,0,1)</f>
        <v>0</v>
      </c>
    </row>
    <row r="98" ht="22.5" customHeight="1">
      <c r="A98" s="6" t="s">
        <v>226</v>
      </c>
      <c r="B98" s="6" t="s">
        <v>227</v>
      </c>
      <c r="C98" s="6" t="s">
        <v>27</v>
      </c>
      <c r="D98" s="7"/>
      <c r="E98" s="6" t="s">
        <v>226</v>
      </c>
      <c r="F98" s="7"/>
      <c r="G98" s="6" t="s">
        <v>19</v>
      </c>
      <c r="H98" s="8">
        <v>0.0</v>
      </c>
      <c r="I98" s="9">
        <v>7.0</v>
      </c>
      <c r="J98" s="10">
        <v>7.0</v>
      </c>
      <c r="K98" s="6" t="s">
        <v>24</v>
      </c>
      <c r="L98" s="7"/>
      <c r="M98" s="7"/>
      <c r="N98" s="7"/>
      <c r="O98" s="11">
        <v>45988.0</v>
      </c>
      <c r="P98" s="12">
        <f>if(A98='QB Import materials'!A97,0,1)</f>
        <v>0</v>
      </c>
    </row>
    <row r="99" ht="22.5" customHeight="1">
      <c r="A99" s="6" t="s">
        <v>228</v>
      </c>
      <c r="B99" s="6" t="s">
        <v>229</v>
      </c>
      <c r="C99" s="6" t="s">
        <v>27</v>
      </c>
      <c r="D99" s="7"/>
      <c r="E99" s="6" t="s">
        <v>228</v>
      </c>
      <c r="F99" s="7"/>
      <c r="G99" s="6" t="s">
        <v>19</v>
      </c>
      <c r="H99" s="8">
        <v>0.0</v>
      </c>
      <c r="I99" s="9">
        <v>1.75</v>
      </c>
      <c r="J99" s="10">
        <v>1.75</v>
      </c>
      <c r="K99" s="6" t="s">
        <v>24</v>
      </c>
      <c r="L99" s="7"/>
      <c r="M99" s="7"/>
      <c r="N99" s="7"/>
      <c r="O99" s="11">
        <v>45988.0</v>
      </c>
      <c r="P99" s="12">
        <f>if(A99='QB Import materials'!A98,0,1)</f>
        <v>0</v>
      </c>
    </row>
    <row r="100" ht="22.5" customHeight="1">
      <c r="A100" s="6" t="s">
        <v>230</v>
      </c>
      <c r="B100" s="6" t="s">
        <v>231</v>
      </c>
      <c r="C100" s="6" t="s">
        <v>27</v>
      </c>
      <c r="D100" s="7"/>
      <c r="E100" s="6" t="s">
        <v>230</v>
      </c>
      <c r="F100" s="7"/>
      <c r="G100" s="6" t="s">
        <v>116</v>
      </c>
      <c r="H100" s="8">
        <v>0.0</v>
      </c>
      <c r="I100" s="9">
        <v>0.32</v>
      </c>
      <c r="J100" s="10">
        <v>0.45</v>
      </c>
      <c r="K100" s="6" t="s">
        <v>24</v>
      </c>
      <c r="L100" s="7"/>
      <c r="M100" s="7"/>
      <c r="N100" s="7"/>
      <c r="O100" s="11">
        <v>45988.0</v>
      </c>
      <c r="P100" s="12">
        <f>if(A100='QB Import materials'!A99,0,1)</f>
        <v>0</v>
      </c>
    </row>
    <row r="101" ht="22.5" customHeight="1">
      <c r="A101" s="6" t="s">
        <v>232</v>
      </c>
      <c r="B101" s="6" t="s">
        <v>233</v>
      </c>
      <c r="C101" s="6" t="s">
        <v>27</v>
      </c>
      <c r="D101" s="7"/>
      <c r="E101" s="6" t="s">
        <v>232</v>
      </c>
      <c r="F101" s="7"/>
      <c r="G101" s="6" t="s">
        <v>116</v>
      </c>
      <c r="H101" s="8">
        <v>0.0</v>
      </c>
      <c r="I101" s="9">
        <v>12.5</v>
      </c>
      <c r="J101" s="10">
        <v>20.89</v>
      </c>
      <c r="K101" s="7"/>
      <c r="L101" s="7"/>
      <c r="M101" s="7"/>
      <c r="N101" s="7"/>
      <c r="O101" s="11">
        <v>45988.0</v>
      </c>
      <c r="P101" s="12">
        <f>if(A101='QB Import materials'!A100,0,1)</f>
        <v>0</v>
      </c>
    </row>
    <row r="102" ht="22.5" customHeight="1">
      <c r="A102" s="6" t="s">
        <v>234</v>
      </c>
      <c r="B102" s="6" t="s">
        <v>235</v>
      </c>
      <c r="C102" s="6" t="s">
        <v>27</v>
      </c>
      <c r="D102" s="7"/>
      <c r="E102" s="6" t="s">
        <v>234</v>
      </c>
      <c r="F102" s="7"/>
      <c r="G102" s="6" t="s">
        <v>121</v>
      </c>
      <c r="H102" s="8">
        <v>0.0</v>
      </c>
      <c r="I102" s="9">
        <v>700.0</v>
      </c>
      <c r="J102" s="17">
        <v>805.0</v>
      </c>
      <c r="K102" s="14"/>
      <c r="L102" s="7"/>
      <c r="M102" s="7"/>
      <c r="N102" s="7"/>
      <c r="O102" s="13">
        <v>45988.0</v>
      </c>
      <c r="P102" s="12">
        <f>if(A102='QB Import materials'!A101,0,1)</f>
        <v>0</v>
      </c>
    </row>
    <row r="103" ht="22.5" customHeight="1">
      <c r="A103" s="6" t="s">
        <v>236</v>
      </c>
      <c r="B103" s="6" t="s">
        <v>237</v>
      </c>
      <c r="C103" s="6" t="s">
        <v>27</v>
      </c>
      <c r="D103" s="7"/>
      <c r="E103" s="6" t="s">
        <v>236</v>
      </c>
      <c r="F103" s="7"/>
      <c r="G103" s="6" t="s">
        <v>121</v>
      </c>
      <c r="H103" s="8">
        <v>0.0</v>
      </c>
      <c r="I103" s="9">
        <v>950.0</v>
      </c>
      <c r="J103" s="18">
        <v>1092.0</v>
      </c>
      <c r="K103" s="14"/>
      <c r="L103" s="7"/>
      <c r="M103" s="7"/>
      <c r="N103" s="7"/>
      <c r="O103" s="13">
        <v>45988.0</v>
      </c>
      <c r="P103" s="12">
        <f>if(A103='QB Import materials'!A102,0,1)</f>
        <v>0</v>
      </c>
    </row>
    <row r="104" ht="22.5" customHeight="1">
      <c r="A104" s="6" t="s">
        <v>238</v>
      </c>
      <c r="B104" s="6" t="s">
        <v>239</v>
      </c>
      <c r="C104" s="6" t="s">
        <v>27</v>
      </c>
      <c r="D104" s="7"/>
      <c r="E104" s="6" t="s">
        <v>238</v>
      </c>
      <c r="F104" s="7"/>
      <c r="G104" s="6" t="s">
        <v>121</v>
      </c>
      <c r="H104" s="8">
        <v>0.0</v>
      </c>
      <c r="I104" s="9">
        <v>600.0</v>
      </c>
      <c r="J104" s="17">
        <v>690.0</v>
      </c>
      <c r="K104" s="14"/>
      <c r="L104" s="7"/>
      <c r="M104" s="7"/>
      <c r="N104" s="7"/>
      <c r="O104" s="11">
        <v>45988.0</v>
      </c>
      <c r="P104" s="12">
        <f>if(A104='QB Import materials'!A103,0,1)</f>
        <v>0</v>
      </c>
    </row>
    <row r="105" ht="22.5" customHeight="1">
      <c r="A105" s="6" t="s">
        <v>240</v>
      </c>
      <c r="B105" s="6" t="s">
        <v>241</v>
      </c>
      <c r="C105" s="6" t="s">
        <v>27</v>
      </c>
      <c r="D105" s="7"/>
      <c r="E105" s="6" t="s">
        <v>242</v>
      </c>
      <c r="F105" s="7"/>
      <c r="G105" s="6" t="s">
        <v>134</v>
      </c>
      <c r="H105" s="8">
        <v>0.0</v>
      </c>
      <c r="I105" s="9">
        <v>32.0</v>
      </c>
      <c r="J105" s="19">
        <v>45.0</v>
      </c>
      <c r="K105" s="14"/>
      <c r="L105" s="7"/>
      <c r="M105" s="7"/>
      <c r="N105" s="7"/>
      <c r="O105" s="11">
        <v>45988.0</v>
      </c>
      <c r="P105" s="12">
        <f>if(A105='QB Import materials'!A104,0,1)</f>
        <v>0</v>
      </c>
    </row>
    <row r="106" ht="22.5" customHeight="1">
      <c r="A106" s="6" t="s">
        <v>243</v>
      </c>
      <c r="B106" s="6" t="s">
        <v>244</v>
      </c>
      <c r="C106" s="6"/>
      <c r="D106" s="7"/>
      <c r="E106" s="6" t="s">
        <v>243</v>
      </c>
      <c r="F106" s="14"/>
      <c r="G106" s="6" t="s">
        <v>245</v>
      </c>
      <c r="H106" s="8">
        <v>0.25</v>
      </c>
      <c r="I106" s="9"/>
      <c r="J106" s="10">
        <v>15.75</v>
      </c>
      <c r="K106" s="14"/>
      <c r="L106" s="7"/>
      <c r="M106" s="7"/>
      <c r="N106" s="7"/>
      <c r="O106" s="11"/>
      <c r="P106" s="12">
        <f>if(A106='QB Import materials'!A105,0,1)</f>
        <v>0</v>
      </c>
    </row>
    <row r="107" ht="22.5" customHeight="1">
      <c r="A107" s="6" t="s">
        <v>246</v>
      </c>
      <c r="B107" s="6" t="s">
        <v>247</v>
      </c>
      <c r="C107" s="6"/>
      <c r="D107" s="7"/>
      <c r="E107" s="6" t="s">
        <v>246</v>
      </c>
      <c r="F107" s="14"/>
      <c r="G107" s="6" t="s">
        <v>248</v>
      </c>
      <c r="H107" s="8"/>
      <c r="I107" s="9"/>
      <c r="J107" s="10">
        <v>37.0</v>
      </c>
      <c r="K107" s="14"/>
      <c r="L107" s="7"/>
      <c r="M107" s="7"/>
      <c r="N107" s="7"/>
      <c r="O107" s="11"/>
      <c r="P107" s="12">
        <f>if(A107='QB Import materials'!A106,0,1)</f>
        <v>0</v>
      </c>
    </row>
    <row r="108" ht="22.5" customHeight="1">
      <c r="A108" s="6" t="s">
        <v>249</v>
      </c>
      <c r="B108" s="6" t="s">
        <v>250</v>
      </c>
      <c r="C108" s="6" t="s">
        <v>27</v>
      </c>
      <c r="D108" s="7"/>
      <c r="E108" s="6" t="s">
        <v>249</v>
      </c>
      <c r="F108" s="14"/>
      <c r="G108" s="6" t="s">
        <v>19</v>
      </c>
      <c r="H108" s="8">
        <v>0.0</v>
      </c>
      <c r="I108" s="9">
        <v>40.0</v>
      </c>
      <c r="J108" s="10">
        <v>66.86</v>
      </c>
      <c r="K108" s="14"/>
      <c r="L108" s="7"/>
      <c r="M108" s="7"/>
      <c r="N108" s="7"/>
      <c r="O108" s="11">
        <v>45988.0</v>
      </c>
      <c r="P108" s="12">
        <f>if(A108='QB Import materials'!A107,0,1)</f>
        <v>0</v>
      </c>
    </row>
    <row r="109" ht="22.5" customHeight="1">
      <c r="A109" s="6" t="s">
        <v>251</v>
      </c>
      <c r="B109" s="6" t="s">
        <v>252</v>
      </c>
      <c r="C109" s="6" t="s">
        <v>27</v>
      </c>
      <c r="D109" s="7"/>
      <c r="E109" s="6" t="s">
        <v>251</v>
      </c>
      <c r="F109" s="7"/>
      <c r="G109" s="6" t="s">
        <v>19</v>
      </c>
      <c r="H109" s="8">
        <v>0.0</v>
      </c>
      <c r="I109" s="9">
        <v>72.0</v>
      </c>
      <c r="J109" s="10">
        <v>120.35</v>
      </c>
      <c r="K109" s="7"/>
      <c r="L109" s="15"/>
      <c r="M109" s="7"/>
      <c r="N109" s="7"/>
      <c r="O109" s="11">
        <v>45988.0</v>
      </c>
      <c r="P109" s="12">
        <f>if(A109='QB Import materials'!A108,0,1)</f>
        <v>0</v>
      </c>
    </row>
    <row r="110" ht="22.5" customHeight="1">
      <c r="A110" s="6" t="s">
        <v>253</v>
      </c>
      <c r="B110" s="6" t="s">
        <v>254</v>
      </c>
      <c r="C110" s="6" t="s">
        <v>27</v>
      </c>
      <c r="D110" s="7"/>
      <c r="E110" s="6" t="s">
        <v>253</v>
      </c>
      <c r="F110" s="7"/>
      <c r="G110" s="6" t="s">
        <v>19</v>
      </c>
      <c r="H110" s="8">
        <v>0.0</v>
      </c>
      <c r="I110" s="9">
        <v>22.0</v>
      </c>
      <c r="J110" s="10">
        <v>36.77</v>
      </c>
      <c r="K110" s="7"/>
      <c r="L110" s="7"/>
      <c r="M110" s="7"/>
      <c r="N110" s="7"/>
      <c r="O110" s="11">
        <v>45988.0</v>
      </c>
      <c r="P110" s="12">
        <f>if(A110='QB Import materials'!A109,0,1)</f>
        <v>0</v>
      </c>
    </row>
    <row r="111" ht="22.5" customHeight="1">
      <c r="A111" s="6" t="s">
        <v>255</v>
      </c>
      <c r="B111" s="6" t="s">
        <v>256</v>
      </c>
      <c r="C111" s="6" t="s">
        <v>27</v>
      </c>
      <c r="D111" s="7"/>
      <c r="E111" s="6" t="s">
        <v>255</v>
      </c>
      <c r="F111" s="7"/>
      <c r="G111" s="6" t="s">
        <v>19</v>
      </c>
      <c r="H111" s="8">
        <v>0.0</v>
      </c>
      <c r="I111" s="9">
        <v>19.95</v>
      </c>
      <c r="J111" s="10">
        <v>19.95</v>
      </c>
      <c r="K111" s="6" t="s">
        <v>24</v>
      </c>
      <c r="L111" s="7"/>
      <c r="M111" s="7"/>
      <c r="N111" s="7"/>
      <c r="O111" s="11">
        <v>45988.0</v>
      </c>
      <c r="P111" s="12">
        <f>if(A111='QB Import materials'!A110,0,1)</f>
        <v>0</v>
      </c>
    </row>
    <row r="112" ht="22.5" customHeight="1">
      <c r="A112" s="6" t="s">
        <v>257</v>
      </c>
      <c r="B112" s="6" t="s">
        <v>258</v>
      </c>
      <c r="C112" s="6" t="s">
        <v>27</v>
      </c>
      <c r="D112" s="7"/>
      <c r="E112" s="14"/>
      <c r="F112" s="7"/>
      <c r="G112" s="14"/>
      <c r="H112" s="8">
        <v>0.0</v>
      </c>
      <c r="I112" s="9">
        <v>619.0</v>
      </c>
      <c r="J112" s="10">
        <v>1034.67</v>
      </c>
      <c r="K112" s="7"/>
      <c r="L112" s="7"/>
      <c r="M112" s="7"/>
      <c r="N112" s="7"/>
      <c r="O112" s="11">
        <v>45677.0</v>
      </c>
      <c r="P112" s="12">
        <f>if(A112='QB Import materials'!A111,0,1)</f>
        <v>0</v>
      </c>
    </row>
    <row r="113" ht="22.5" customHeight="1">
      <c r="A113" s="6" t="s">
        <v>259</v>
      </c>
      <c r="B113" s="6" t="s">
        <v>260</v>
      </c>
      <c r="C113" s="6" t="s">
        <v>27</v>
      </c>
      <c r="D113" s="7"/>
      <c r="E113" s="6" t="s">
        <v>255</v>
      </c>
      <c r="F113" s="7"/>
      <c r="G113" s="6" t="s">
        <v>19</v>
      </c>
      <c r="H113" s="8">
        <v>0.0</v>
      </c>
      <c r="I113" s="9">
        <v>71.0</v>
      </c>
      <c r="J113" s="10">
        <v>71.0</v>
      </c>
      <c r="K113" s="6" t="s">
        <v>24</v>
      </c>
      <c r="L113" s="7"/>
      <c r="M113" s="7"/>
      <c r="N113" s="7"/>
      <c r="O113" s="11">
        <v>45988.0</v>
      </c>
      <c r="P113" s="12">
        <f>if(A113='QB Import materials'!A112,0,1)</f>
        <v>0</v>
      </c>
    </row>
    <row r="114" ht="22.5" customHeight="1">
      <c r="A114" s="6" t="s">
        <v>261</v>
      </c>
      <c r="B114" s="6" t="s">
        <v>262</v>
      </c>
      <c r="C114" s="6" t="s">
        <v>27</v>
      </c>
      <c r="D114" s="7"/>
      <c r="E114" s="6" t="s">
        <v>261</v>
      </c>
      <c r="F114" s="7"/>
      <c r="G114" s="6" t="s">
        <v>19</v>
      </c>
      <c r="H114" s="8">
        <v>0.0</v>
      </c>
      <c r="I114" s="9">
        <v>2.5</v>
      </c>
      <c r="J114" s="10">
        <v>2.5</v>
      </c>
      <c r="K114" s="6" t="s">
        <v>24</v>
      </c>
      <c r="L114" s="7"/>
      <c r="M114" s="7"/>
      <c r="N114" s="7"/>
      <c r="O114" s="11">
        <v>45989.0</v>
      </c>
      <c r="P114" s="12">
        <f>if(A114='QB Import materials'!A113,0,1)</f>
        <v>0</v>
      </c>
    </row>
    <row r="115" ht="22.5" customHeight="1">
      <c r="A115" s="6" t="s">
        <v>263</v>
      </c>
      <c r="B115" s="6" t="s">
        <v>264</v>
      </c>
      <c r="C115" s="6" t="s">
        <v>27</v>
      </c>
      <c r="D115" s="7"/>
      <c r="E115" s="6" t="s">
        <v>263</v>
      </c>
      <c r="F115" s="7"/>
      <c r="G115" s="6" t="s">
        <v>93</v>
      </c>
      <c r="H115" s="8">
        <v>0.0</v>
      </c>
      <c r="I115" s="9">
        <v>1.0</v>
      </c>
      <c r="J115" s="10">
        <v>2.0</v>
      </c>
      <c r="K115" s="6" t="s">
        <v>24</v>
      </c>
      <c r="L115" s="7"/>
      <c r="M115" s="7"/>
      <c r="N115" s="7"/>
      <c r="O115" s="11">
        <v>45988.0</v>
      </c>
      <c r="P115" s="12">
        <f>if(A115='QB Import materials'!A114,0,1)</f>
        <v>0</v>
      </c>
    </row>
    <row r="116" ht="22.5" customHeight="1">
      <c r="A116" s="6" t="s">
        <v>265</v>
      </c>
      <c r="B116" s="6" t="s">
        <v>266</v>
      </c>
      <c r="C116" s="6" t="s">
        <v>27</v>
      </c>
      <c r="D116" s="7"/>
      <c r="E116" s="6" t="s">
        <v>265</v>
      </c>
      <c r="F116" s="7"/>
      <c r="G116" s="6" t="s">
        <v>93</v>
      </c>
      <c r="H116" s="8">
        <v>0.0</v>
      </c>
      <c r="I116" s="9">
        <v>1.0</v>
      </c>
      <c r="J116" s="10">
        <v>1.2</v>
      </c>
      <c r="K116" s="6" t="s">
        <v>24</v>
      </c>
      <c r="L116" s="7"/>
      <c r="M116" s="7"/>
      <c r="N116" s="7"/>
      <c r="O116" s="13">
        <v>45988.0</v>
      </c>
      <c r="P116" s="12">
        <f>if(A116='QB Import materials'!A115,0,1)</f>
        <v>0</v>
      </c>
    </row>
    <row r="117" ht="22.5" customHeight="1">
      <c r="A117" s="6" t="s">
        <v>267</v>
      </c>
      <c r="B117" s="6" t="s">
        <v>268</v>
      </c>
      <c r="C117" s="6" t="s">
        <v>27</v>
      </c>
      <c r="D117" s="7"/>
      <c r="E117" s="6" t="s">
        <v>269</v>
      </c>
      <c r="F117" s="7"/>
      <c r="G117" s="6" t="s">
        <v>93</v>
      </c>
      <c r="H117" s="8">
        <v>0.0</v>
      </c>
      <c r="I117" s="9">
        <v>0.0</v>
      </c>
      <c r="J117" s="10">
        <v>0.0</v>
      </c>
      <c r="K117" s="14"/>
      <c r="L117" s="7"/>
      <c r="M117" s="7"/>
      <c r="N117" s="7"/>
      <c r="O117" s="11">
        <v>45988.0</v>
      </c>
      <c r="P117" s="12">
        <f>if(A117='QB Import materials'!A116,0,1)</f>
        <v>0</v>
      </c>
    </row>
    <row r="118" ht="22.5" customHeight="1">
      <c r="A118" s="6" t="s">
        <v>270</v>
      </c>
      <c r="B118" s="6" t="s">
        <v>271</v>
      </c>
      <c r="C118" s="6" t="s">
        <v>27</v>
      </c>
      <c r="D118" s="7"/>
      <c r="E118" s="6" t="s">
        <v>270</v>
      </c>
      <c r="F118" s="7"/>
      <c r="G118" s="6" t="s">
        <v>93</v>
      </c>
      <c r="H118" s="8">
        <v>0.0</v>
      </c>
      <c r="I118" s="9">
        <v>1.0</v>
      </c>
      <c r="J118" s="10">
        <v>1.2</v>
      </c>
      <c r="K118" s="6" t="s">
        <v>24</v>
      </c>
      <c r="L118" s="7"/>
      <c r="M118" s="7"/>
      <c r="N118" s="7"/>
      <c r="O118" s="11">
        <v>45988.0</v>
      </c>
      <c r="P118" s="12">
        <f>if(A118='QB Import materials'!A117,0,1)</f>
        <v>0</v>
      </c>
    </row>
    <row r="119" ht="22.5" customHeight="1">
      <c r="A119" s="6" t="s">
        <v>272</v>
      </c>
      <c r="B119" s="6" t="s">
        <v>273</v>
      </c>
      <c r="C119" s="6" t="s">
        <v>27</v>
      </c>
      <c r="D119" s="7"/>
      <c r="E119" s="6" t="s">
        <v>272</v>
      </c>
      <c r="F119" s="7"/>
      <c r="G119" s="6" t="s">
        <v>93</v>
      </c>
      <c r="H119" s="8">
        <v>0.0</v>
      </c>
      <c r="I119" s="9">
        <v>1.0</v>
      </c>
      <c r="J119" s="10">
        <v>2.0</v>
      </c>
      <c r="K119" s="6" t="s">
        <v>24</v>
      </c>
      <c r="L119" s="7"/>
      <c r="M119" s="7"/>
      <c r="N119" s="7"/>
      <c r="O119" s="13">
        <v>45988.0</v>
      </c>
      <c r="P119" s="12">
        <f>if(A119='QB Import materials'!A118,0,1)</f>
        <v>0</v>
      </c>
    </row>
    <row r="120" ht="22.5" customHeight="1">
      <c r="A120" s="6" t="s">
        <v>274</v>
      </c>
      <c r="B120" s="6" t="s">
        <v>275</v>
      </c>
      <c r="C120" s="6" t="s">
        <v>27</v>
      </c>
      <c r="D120" s="7"/>
      <c r="E120" s="6" t="s">
        <v>274</v>
      </c>
      <c r="F120" s="7"/>
      <c r="G120" s="6" t="s">
        <v>93</v>
      </c>
      <c r="H120" s="8">
        <v>0.0</v>
      </c>
      <c r="I120" s="9">
        <v>1.0</v>
      </c>
      <c r="J120" s="10">
        <v>2.0</v>
      </c>
      <c r="K120" s="6" t="s">
        <v>24</v>
      </c>
      <c r="L120" s="7"/>
      <c r="M120" s="7"/>
      <c r="N120" s="7"/>
      <c r="O120" s="13">
        <v>45988.0</v>
      </c>
      <c r="P120" s="12">
        <f>if(A120='QB Import materials'!A119,0,1)</f>
        <v>0</v>
      </c>
    </row>
    <row r="121" ht="22.5" customHeight="1">
      <c r="A121" s="6" t="s">
        <v>276</v>
      </c>
      <c r="B121" s="6" t="s">
        <v>277</v>
      </c>
      <c r="C121" s="6"/>
      <c r="D121" s="7"/>
      <c r="E121" s="6" t="s">
        <v>276</v>
      </c>
      <c r="F121" s="7"/>
      <c r="G121" s="6" t="s">
        <v>245</v>
      </c>
      <c r="H121" s="8"/>
      <c r="I121" s="9"/>
      <c r="J121" s="10">
        <v>71.0</v>
      </c>
      <c r="K121" s="14"/>
      <c r="L121" s="16"/>
      <c r="M121" s="7"/>
      <c r="N121" s="7"/>
      <c r="O121" s="11"/>
      <c r="P121" s="12">
        <f>if(A121='QB Import materials'!A120,0,1)</f>
        <v>0</v>
      </c>
    </row>
    <row r="122" ht="22.5" customHeight="1">
      <c r="A122" s="6" t="s">
        <v>278</v>
      </c>
      <c r="B122" s="6" t="s">
        <v>279</v>
      </c>
      <c r="C122" s="6"/>
      <c r="D122" s="7"/>
      <c r="E122" s="6" t="s">
        <v>278</v>
      </c>
      <c r="F122" s="7"/>
      <c r="G122" s="6" t="s">
        <v>245</v>
      </c>
      <c r="H122" s="8"/>
      <c r="I122" s="9"/>
      <c r="J122" s="10">
        <v>22.0</v>
      </c>
      <c r="K122" s="14"/>
      <c r="L122" s="16"/>
      <c r="M122" s="7"/>
      <c r="N122" s="7"/>
      <c r="O122" s="11"/>
      <c r="P122" s="12">
        <f>if(A122='QB Import materials'!A121,0,1)</f>
        <v>0</v>
      </c>
    </row>
    <row r="123" ht="22.5" customHeight="1">
      <c r="A123" s="6" t="s">
        <v>280</v>
      </c>
      <c r="B123" s="6" t="s">
        <v>281</v>
      </c>
      <c r="C123" s="6" t="s">
        <v>27</v>
      </c>
      <c r="D123" s="7"/>
      <c r="E123" s="6" t="s">
        <v>280</v>
      </c>
      <c r="F123" s="7"/>
      <c r="G123" s="6" t="s">
        <v>19</v>
      </c>
      <c r="H123" s="8">
        <v>0.0</v>
      </c>
      <c r="I123" s="9">
        <v>300.0</v>
      </c>
      <c r="J123" s="10">
        <v>501.45</v>
      </c>
      <c r="K123" s="14"/>
      <c r="L123" s="16">
        <v>0.29</v>
      </c>
      <c r="M123" s="7"/>
      <c r="N123" s="7"/>
      <c r="O123" s="11">
        <v>45988.0</v>
      </c>
      <c r="P123" s="12">
        <f>if(A123='QB Import materials'!A122,0,1)</f>
        <v>0</v>
      </c>
    </row>
    <row r="124" ht="22.5" customHeight="1">
      <c r="A124" s="6" t="s">
        <v>282</v>
      </c>
      <c r="B124" s="6" t="s">
        <v>283</v>
      </c>
      <c r="C124" s="6"/>
      <c r="D124" s="7"/>
      <c r="E124" s="6" t="s">
        <v>282</v>
      </c>
      <c r="F124" s="7"/>
      <c r="G124" s="6" t="s">
        <v>248</v>
      </c>
      <c r="H124" s="8"/>
      <c r="I124" s="9">
        <v>38.68</v>
      </c>
      <c r="J124" s="10">
        <v>48.35</v>
      </c>
      <c r="K124" s="7"/>
      <c r="L124" s="7"/>
      <c r="M124" s="7"/>
      <c r="N124" s="7"/>
      <c r="O124" s="13"/>
      <c r="P124" s="12">
        <f>if(A124='QB Import materials'!A123,0,1)</f>
        <v>0</v>
      </c>
    </row>
    <row r="125" ht="22.5" customHeight="1">
      <c r="A125" s="6" t="s">
        <v>284</v>
      </c>
      <c r="B125" s="6" t="s">
        <v>285</v>
      </c>
      <c r="C125" s="6" t="s">
        <v>27</v>
      </c>
      <c r="D125" s="7"/>
      <c r="E125" s="6" t="s">
        <v>284</v>
      </c>
      <c r="F125" s="7"/>
      <c r="G125" s="6" t="s">
        <v>19</v>
      </c>
      <c r="H125" s="8">
        <v>0.0</v>
      </c>
      <c r="I125" s="9">
        <v>5.44</v>
      </c>
      <c r="J125" s="10">
        <v>10.88</v>
      </c>
      <c r="K125" s="7"/>
      <c r="L125" s="7"/>
      <c r="M125" s="7"/>
      <c r="N125" s="7"/>
      <c r="O125" s="13">
        <v>46129.0</v>
      </c>
      <c r="P125" s="12">
        <f>if(A125='QB Import materials'!A124,0,1)</f>
        <v>0</v>
      </c>
    </row>
    <row r="126" ht="22.5" customHeight="1">
      <c r="A126" s="6" t="s">
        <v>286</v>
      </c>
      <c r="B126" s="6" t="s">
        <v>287</v>
      </c>
      <c r="C126" s="6" t="s">
        <v>27</v>
      </c>
      <c r="D126" s="7"/>
      <c r="E126" s="6" t="s">
        <v>286</v>
      </c>
      <c r="F126" s="7"/>
      <c r="G126" s="6" t="s">
        <v>134</v>
      </c>
      <c r="H126" s="8">
        <v>0.0</v>
      </c>
      <c r="I126" s="9">
        <v>40.94</v>
      </c>
      <c r="J126" s="10">
        <v>65.0</v>
      </c>
      <c r="K126" s="6" t="s">
        <v>24</v>
      </c>
      <c r="L126" s="7"/>
      <c r="M126" s="7"/>
      <c r="N126" s="7"/>
      <c r="O126" s="13">
        <v>45989.0</v>
      </c>
      <c r="P126" s="12">
        <f>if(A126='QB Import materials'!A125,0,1)</f>
        <v>0</v>
      </c>
    </row>
    <row r="127" ht="22.5" customHeight="1">
      <c r="A127" s="6" t="s">
        <v>288</v>
      </c>
      <c r="B127" s="6" t="s">
        <v>289</v>
      </c>
      <c r="C127" s="6" t="s">
        <v>27</v>
      </c>
      <c r="D127" s="7"/>
      <c r="E127" s="6" t="s">
        <v>288</v>
      </c>
      <c r="F127" s="7"/>
      <c r="G127" s="6" t="s">
        <v>19</v>
      </c>
      <c r="H127" s="8">
        <v>0.0</v>
      </c>
      <c r="I127" s="9">
        <v>4.42</v>
      </c>
      <c r="J127" s="10">
        <v>8.84</v>
      </c>
      <c r="K127" s="7"/>
      <c r="L127" s="7"/>
      <c r="M127" s="7"/>
      <c r="N127" s="7"/>
      <c r="O127" s="13">
        <v>46129.0</v>
      </c>
      <c r="P127" s="12">
        <f>if(A127='QB Import materials'!A126,0,1)</f>
        <v>0</v>
      </c>
    </row>
    <row r="128" ht="22.5" customHeight="1">
      <c r="A128" s="6" t="s">
        <v>290</v>
      </c>
      <c r="B128" s="6" t="s">
        <v>291</v>
      </c>
      <c r="C128" s="6" t="s">
        <v>27</v>
      </c>
      <c r="D128" s="7"/>
      <c r="E128" s="6" t="s">
        <v>290</v>
      </c>
      <c r="F128" s="7"/>
      <c r="G128" s="6" t="s">
        <v>134</v>
      </c>
      <c r="H128" s="8">
        <v>0.0</v>
      </c>
      <c r="I128" s="9">
        <v>41.21</v>
      </c>
      <c r="J128" s="10">
        <v>79.12</v>
      </c>
      <c r="K128" s="14"/>
      <c r="L128" s="7"/>
      <c r="M128" s="7"/>
      <c r="N128" s="7"/>
      <c r="O128" s="13">
        <v>45989.0</v>
      </c>
      <c r="P128" s="12">
        <f>if(A128='QB Import materials'!A127,0,1)</f>
        <v>0</v>
      </c>
    </row>
    <row r="129" ht="22.5" customHeight="1">
      <c r="A129" s="6" t="s">
        <v>292</v>
      </c>
      <c r="B129" s="6" t="s">
        <v>293</v>
      </c>
      <c r="C129" s="6" t="s">
        <v>27</v>
      </c>
      <c r="D129" s="7"/>
      <c r="E129" s="6" t="s">
        <v>292</v>
      </c>
      <c r="F129" s="7"/>
      <c r="G129" s="6" t="s">
        <v>19</v>
      </c>
      <c r="H129" s="8">
        <v>0.0</v>
      </c>
      <c r="I129" s="9">
        <v>85.51</v>
      </c>
      <c r="J129" s="10">
        <v>142.93</v>
      </c>
      <c r="K129" s="14"/>
      <c r="L129" s="7"/>
      <c r="M129" s="7"/>
      <c r="N129" s="7"/>
      <c r="O129" s="13">
        <v>45988.0</v>
      </c>
      <c r="P129" s="12">
        <f>if(A129='QB Import materials'!A128,0,1)</f>
        <v>0</v>
      </c>
    </row>
    <row r="130" ht="22.5" customHeight="1">
      <c r="A130" s="6" t="s">
        <v>294</v>
      </c>
      <c r="B130" s="6" t="s">
        <v>295</v>
      </c>
      <c r="C130" s="6" t="s">
        <v>27</v>
      </c>
      <c r="D130" s="7"/>
      <c r="E130" s="6" t="s">
        <v>294</v>
      </c>
      <c r="F130" s="7"/>
      <c r="G130" s="6" t="s">
        <v>19</v>
      </c>
      <c r="H130" s="8">
        <v>0.0</v>
      </c>
      <c r="I130" s="9">
        <v>59.35</v>
      </c>
      <c r="J130" s="10">
        <v>99.2</v>
      </c>
      <c r="K130" s="7"/>
      <c r="L130" s="7"/>
      <c r="M130" s="7"/>
      <c r="N130" s="7"/>
      <c r="O130" s="11">
        <v>45988.0</v>
      </c>
      <c r="P130" s="12">
        <f>if(A130='QB Import materials'!A129,0,1)</f>
        <v>0</v>
      </c>
    </row>
    <row r="131" ht="22.5" customHeight="1">
      <c r="A131" s="6" t="s">
        <v>296</v>
      </c>
      <c r="B131" s="6" t="s">
        <v>297</v>
      </c>
      <c r="C131" s="6" t="s">
        <v>27</v>
      </c>
      <c r="D131" s="14"/>
      <c r="E131" s="6" t="s">
        <v>296</v>
      </c>
      <c r="F131" s="7"/>
      <c r="G131" s="6" t="s">
        <v>19</v>
      </c>
      <c r="H131" s="8">
        <v>0.0</v>
      </c>
      <c r="I131" s="9">
        <v>42.0</v>
      </c>
      <c r="J131" s="10">
        <v>52.5</v>
      </c>
      <c r="K131" s="6" t="s">
        <v>24</v>
      </c>
      <c r="L131" s="7"/>
      <c r="M131" s="7"/>
      <c r="N131" s="7"/>
      <c r="O131" s="20">
        <v>46129.0</v>
      </c>
      <c r="P131" s="12">
        <f>if(A131='QB Import materials'!A130,0,1)</f>
        <v>0</v>
      </c>
    </row>
    <row r="132" ht="22.5" customHeight="1">
      <c r="A132" s="6" t="s">
        <v>298</v>
      </c>
      <c r="B132" s="6" t="s">
        <v>299</v>
      </c>
      <c r="C132" s="6" t="s">
        <v>27</v>
      </c>
      <c r="D132" s="7"/>
      <c r="E132" s="6" t="s">
        <v>298</v>
      </c>
      <c r="F132" s="7"/>
      <c r="G132" s="6" t="s">
        <v>23</v>
      </c>
      <c r="H132" s="8">
        <v>0.0</v>
      </c>
      <c r="I132" s="9">
        <v>0.32</v>
      </c>
      <c r="J132" s="10">
        <v>0.74</v>
      </c>
      <c r="K132" s="6" t="s">
        <v>24</v>
      </c>
      <c r="L132" s="7"/>
      <c r="M132" s="7"/>
      <c r="N132" s="7"/>
      <c r="O132" s="13">
        <v>45989.0</v>
      </c>
      <c r="P132" s="12">
        <f>if(A132='QB Import materials'!A131,0,1)</f>
        <v>0</v>
      </c>
    </row>
    <row r="133" ht="22.5" customHeight="1">
      <c r="A133" s="6" t="s">
        <v>300</v>
      </c>
      <c r="B133" s="6" t="s">
        <v>301</v>
      </c>
      <c r="C133" s="6" t="s">
        <v>27</v>
      </c>
      <c r="D133" s="7"/>
      <c r="E133" s="6" t="s">
        <v>300</v>
      </c>
      <c r="F133" s="7"/>
      <c r="G133" s="6" t="s">
        <v>19</v>
      </c>
      <c r="H133" s="8">
        <v>0.0</v>
      </c>
      <c r="I133" s="9">
        <v>111.02</v>
      </c>
      <c r="J133" s="10">
        <v>233.01</v>
      </c>
      <c r="K133" s="6" t="s">
        <v>24</v>
      </c>
      <c r="L133" s="7"/>
      <c r="M133" s="7"/>
      <c r="N133" s="7"/>
      <c r="O133" s="13">
        <v>45988.0</v>
      </c>
      <c r="P133" s="12">
        <f>if(A133='QB Import materials'!A132,0,1)</f>
        <v>0</v>
      </c>
    </row>
    <row r="134" ht="22.5" customHeight="1">
      <c r="A134" s="6" t="s">
        <v>302</v>
      </c>
      <c r="B134" s="6" t="s">
        <v>303</v>
      </c>
      <c r="C134" s="6" t="s">
        <v>27</v>
      </c>
      <c r="D134" s="7"/>
      <c r="E134" s="6" t="s">
        <v>302</v>
      </c>
      <c r="F134" s="7"/>
      <c r="G134" s="6" t="s">
        <v>19</v>
      </c>
      <c r="H134" s="8">
        <v>0.0</v>
      </c>
      <c r="I134" s="9">
        <v>152.4</v>
      </c>
      <c r="J134" s="10">
        <v>357.21</v>
      </c>
      <c r="K134" s="6" t="s">
        <v>24</v>
      </c>
      <c r="L134" s="7"/>
      <c r="M134" s="7"/>
      <c r="N134" s="7"/>
      <c r="O134" s="11">
        <v>45988.0</v>
      </c>
      <c r="P134" s="12">
        <f>if(A134='QB Import materials'!A133,0,1)</f>
        <v>0</v>
      </c>
    </row>
    <row r="135" ht="22.5" customHeight="1">
      <c r="A135" s="6" t="s">
        <v>304</v>
      </c>
      <c r="B135" s="6" t="s">
        <v>305</v>
      </c>
      <c r="C135" s="6" t="s">
        <v>27</v>
      </c>
      <c r="D135" s="7"/>
      <c r="E135" s="6" t="s">
        <v>304</v>
      </c>
      <c r="F135" s="7"/>
      <c r="G135" s="6" t="s">
        <v>245</v>
      </c>
      <c r="H135" s="8">
        <v>0.0</v>
      </c>
      <c r="I135" s="9">
        <v>81.0</v>
      </c>
      <c r="J135" s="10">
        <v>82.0</v>
      </c>
      <c r="K135" s="6" t="s">
        <v>24</v>
      </c>
      <c r="L135" s="7"/>
      <c r="M135" s="7"/>
      <c r="N135" s="7"/>
      <c r="O135" s="11">
        <v>45988.0</v>
      </c>
      <c r="P135" s="12">
        <f>if(A135='QB Import materials'!A134,0,1)</f>
        <v>0</v>
      </c>
    </row>
    <row r="136" ht="22.5" customHeight="1">
      <c r="A136" s="6" t="s">
        <v>306</v>
      </c>
      <c r="B136" s="6" t="s">
        <v>307</v>
      </c>
      <c r="C136" s="6" t="s">
        <v>27</v>
      </c>
      <c r="D136" s="7"/>
      <c r="E136" s="6" t="s">
        <v>306</v>
      </c>
      <c r="F136" s="7"/>
      <c r="G136" s="6" t="s">
        <v>19</v>
      </c>
      <c r="H136" s="8">
        <v>0.0</v>
      </c>
      <c r="I136" s="21">
        <v>4.29</v>
      </c>
      <c r="J136" s="18">
        <v>8.59</v>
      </c>
      <c r="K136" s="6" t="s">
        <v>24</v>
      </c>
      <c r="L136" s="7"/>
      <c r="M136" s="7"/>
      <c r="N136" s="7"/>
      <c r="O136" s="11">
        <v>45988.0</v>
      </c>
      <c r="P136" s="12">
        <f>if(A136='QB Import materials'!A135,0,1)</f>
        <v>0</v>
      </c>
    </row>
    <row r="137" ht="22.5" customHeight="1">
      <c r="A137" s="6" t="s">
        <v>308</v>
      </c>
      <c r="B137" s="6" t="s">
        <v>309</v>
      </c>
      <c r="C137" s="6" t="s">
        <v>27</v>
      </c>
      <c r="D137" s="7"/>
      <c r="E137" s="6" t="s">
        <v>308</v>
      </c>
      <c r="F137" s="7"/>
      <c r="G137" s="6" t="s">
        <v>19</v>
      </c>
      <c r="H137" s="8">
        <v>0.0</v>
      </c>
      <c r="I137" s="22">
        <v>4.29</v>
      </c>
      <c r="J137" s="17">
        <v>8.59</v>
      </c>
      <c r="K137" s="14"/>
      <c r="L137" s="7"/>
      <c r="M137" s="7"/>
      <c r="N137" s="7"/>
      <c r="O137" s="11">
        <v>45989.0</v>
      </c>
      <c r="P137" s="12">
        <f>if(A137='QB Import materials'!A136,0,1)</f>
        <v>0</v>
      </c>
    </row>
    <row r="138" ht="22.5" customHeight="1">
      <c r="A138" s="6" t="s">
        <v>310</v>
      </c>
      <c r="B138" s="6"/>
      <c r="C138" s="6"/>
      <c r="D138" s="7"/>
      <c r="E138" s="6" t="s">
        <v>310</v>
      </c>
      <c r="F138" s="7"/>
      <c r="G138" s="6" t="s">
        <v>19</v>
      </c>
      <c r="H138" s="8"/>
      <c r="I138" s="9"/>
      <c r="J138" s="23"/>
      <c r="K138" s="14"/>
      <c r="L138" s="7"/>
      <c r="M138" s="7"/>
      <c r="N138" s="7"/>
      <c r="O138" s="20">
        <v>46136.0</v>
      </c>
      <c r="P138" s="12">
        <f>if(A138='QB Import materials'!A137,0,1)</f>
        <v>0</v>
      </c>
    </row>
    <row r="139" ht="22.5" customHeight="1">
      <c r="A139" s="6" t="s">
        <v>311</v>
      </c>
      <c r="B139" s="6" t="s">
        <v>312</v>
      </c>
      <c r="C139" s="6" t="s">
        <v>27</v>
      </c>
      <c r="D139" s="7"/>
      <c r="E139" s="14"/>
      <c r="F139" s="7"/>
      <c r="G139" s="6" t="s">
        <v>313</v>
      </c>
      <c r="H139" s="8">
        <v>1.0</v>
      </c>
      <c r="I139" s="9">
        <v>4.88</v>
      </c>
      <c r="J139" s="10">
        <v>8.15</v>
      </c>
      <c r="K139" s="14"/>
      <c r="L139" s="7"/>
      <c r="M139" s="7"/>
      <c r="N139" s="7"/>
      <c r="O139" s="11">
        <v>45847.0</v>
      </c>
      <c r="P139" s="12">
        <f>if(A139='QB Import materials'!A138,0,1)</f>
        <v>0</v>
      </c>
    </row>
    <row r="140" ht="22.5" customHeight="1">
      <c r="A140" s="6" t="s">
        <v>314</v>
      </c>
      <c r="B140" s="6" t="s">
        <v>315</v>
      </c>
      <c r="C140" s="6" t="s">
        <v>27</v>
      </c>
      <c r="D140" s="7"/>
      <c r="E140" s="6" t="s">
        <v>314</v>
      </c>
      <c r="F140" s="7"/>
      <c r="G140" s="6" t="s">
        <v>116</v>
      </c>
      <c r="H140" s="8">
        <v>0.0</v>
      </c>
      <c r="I140" s="9">
        <v>7.0</v>
      </c>
      <c r="J140" s="10">
        <v>11.7</v>
      </c>
      <c r="K140" s="7"/>
      <c r="L140" s="7"/>
      <c r="M140" s="7"/>
      <c r="N140" s="7"/>
      <c r="O140" s="11">
        <v>45988.0</v>
      </c>
      <c r="P140" s="12">
        <f>if(A140='QB Import materials'!A139,0,1)</f>
        <v>0</v>
      </c>
    </row>
    <row r="141" ht="22.5" customHeight="1">
      <c r="A141" s="6" t="s">
        <v>316</v>
      </c>
      <c r="B141" s="6" t="s">
        <v>317</v>
      </c>
      <c r="C141" s="6" t="s">
        <v>27</v>
      </c>
      <c r="D141" s="7"/>
      <c r="E141" s="6" t="s">
        <v>316</v>
      </c>
      <c r="F141" s="7"/>
      <c r="G141" s="6" t="s">
        <v>19</v>
      </c>
      <c r="H141" s="8">
        <v>0.0</v>
      </c>
      <c r="I141" s="9">
        <v>18.99</v>
      </c>
      <c r="J141" s="10">
        <v>18.99</v>
      </c>
      <c r="K141" s="6" t="s">
        <v>24</v>
      </c>
      <c r="L141" s="7"/>
      <c r="M141" s="7"/>
      <c r="N141" s="7"/>
      <c r="O141" s="13">
        <v>45989.0</v>
      </c>
      <c r="P141" s="12">
        <f>if(A141='QB Import materials'!A140,0,1)</f>
        <v>0</v>
      </c>
    </row>
    <row r="142" ht="22.5" customHeight="1">
      <c r="A142" s="6" t="s">
        <v>318</v>
      </c>
      <c r="B142" s="6" t="s">
        <v>319</v>
      </c>
      <c r="C142" s="6" t="s">
        <v>27</v>
      </c>
      <c r="D142" s="7"/>
      <c r="E142" s="6" t="s">
        <v>318</v>
      </c>
      <c r="F142" s="7"/>
      <c r="G142" s="6" t="s">
        <v>19</v>
      </c>
      <c r="H142" s="8">
        <v>0.0</v>
      </c>
      <c r="I142" s="21">
        <v>68.0</v>
      </c>
      <c r="J142" s="18">
        <v>68.0</v>
      </c>
      <c r="K142" s="6" t="s">
        <v>24</v>
      </c>
      <c r="L142" s="7"/>
      <c r="M142" s="7"/>
      <c r="N142" s="7"/>
      <c r="O142" s="13">
        <v>45988.0</v>
      </c>
      <c r="P142" s="12">
        <f>if(A142='QB Import materials'!A141,0,1)</f>
        <v>0</v>
      </c>
    </row>
    <row r="143" ht="22.5" customHeight="1">
      <c r="A143" s="6" t="s">
        <v>320</v>
      </c>
      <c r="B143" s="6" t="s">
        <v>321</v>
      </c>
      <c r="C143" s="6" t="s">
        <v>27</v>
      </c>
      <c r="D143" s="7"/>
      <c r="E143" s="6" t="s">
        <v>320</v>
      </c>
      <c r="F143" s="7"/>
      <c r="G143" s="6" t="s">
        <v>19</v>
      </c>
      <c r="H143" s="8">
        <v>0.0</v>
      </c>
      <c r="I143" s="22">
        <v>178.0</v>
      </c>
      <c r="J143" s="17">
        <v>178.0</v>
      </c>
      <c r="K143" s="6" t="s">
        <v>24</v>
      </c>
      <c r="L143" s="7"/>
      <c r="M143" s="7"/>
      <c r="N143" s="7"/>
      <c r="O143" s="11">
        <v>45988.0</v>
      </c>
      <c r="P143" s="12">
        <f>if(A143='QB Import materials'!A142,0,1)</f>
        <v>0</v>
      </c>
    </row>
    <row r="144" ht="22.5" customHeight="1">
      <c r="A144" s="6" t="s">
        <v>322</v>
      </c>
      <c r="B144" s="6" t="s">
        <v>323</v>
      </c>
      <c r="C144" s="6" t="s">
        <v>27</v>
      </c>
      <c r="D144" s="7"/>
      <c r="E144" s="6" t="s">
        <v>322</v>
      </c>
      <c r="F144" s="7"/>
      <c r="G144" s="6" t="s">
        <v>19</v>
      </c>
      <c r="H144" s="8">
        <v>0.0</v>
      </c>
      <c r="I144" s="21">
        <v>9.5</v>
      </c>
      <c r="J144" s="18">
        <v>25.0</v>
      </c>
      <c r="K144" s="14"/>
      <c r="L144" s="7"/>
      <c r="M144" s="7"/>
      <c r="N144" s="7"/>
      <c r="O144" s="11">
        <v>45989.0</v>
      </c>
      <c r="P144" s="12">
        <f>if(A144='QB Import materials'!A143,0,1)</f>
        <v>0</v>
      </c>
    </row>
    <row r="145" ht="22.5" customHeight="1">
      <c r="A145" s="6" t="s">
        <v>324</v>
      </c>
      <c r="B145" s="6" t="s">
        <v>325</v>
      </c>
      <c r="C145" s="6" t="s">
        <v>27</v>
      </c>
      <c r="D145" s="7"/>
      <c r="E145" s="6" t="s">
        <v>324</v>
      </c>
      <c r="F145" s="7"/>
      <c r="G145" s="6" t="s">
        <v>19</v>
      </c>
      <c r="H145" s="8">
        <v>0.0</v>
      </c>
      <c r="I145" s="22">
        <v>24.0</v>
      </c>
      <c r="J145" s="10">
        <v>40.12</v>
      </c>
      <c r="K145" s="7"/>
      <c r="L145" s="7"/>
      <c r="M145" s="7"/>
      <c r="N145" s="7"/>
      <c r="O145" s="11">
        <v>45989.0</v>
      </c>
      <c r="P145" s="12">
        <f>if(A145='QB Import materials'!A144,0,1)</f>
        <v>0</v>
      </c>
    </row>
    <row r="146" ht="22.5" customHeight="1">
      <c r="A146" s="6" t="s">
        <v>326</v>
      </c>
      <c r="B146" s="6" t="s">
        <v>327</v>
      </c>
      <c r="C146" s="6" t="s">
        <v>27</v>
      </c>
      <c r="D146" s="7"/>
      <c r="E146" s="6" t="s">
        <v>326</v>
      </c>
      <c r="F146" s="7"/>
      <c r="G146" s="6" t="s">
        <v>19</v>
      </c>
      <c r="H146" s="8">
        <v>0.0</v>
      </c>
      <c r="I146" s="21">
        <v>8.0</v>
      </c>
      <c r="J146" s="10">
        <v>11.0</v>
      </c>
      <c r="K146" s="6" t="s">
        <v>24</v>
      </c>
      <c r="L146" s="7"/>
      <c r="M146" s="7"/>
      <c r="N146" s="7"/>
      <c r="O146" s="13">
        <v>45988.0</v>
      </c>
      <c r="P146" s="12">
        <f>if(A146='QB Import materials'!A145,0,1)</f>
        <v>0</v>
      </c>
    </row>
    <row r="147" ht="22.5" customHeight="1">
      <c r="A147" s="6" t="s">
        <v>328</v>
      </c>
      <c r="B147" s="6" t="s">
        <v>329</v>
      </c>
      <c r="C147" s="6" t="s">
        <v>27</v>
      </c>
      <c r="D147" s="7"/>
      <c r="E147" s="6" t="s">
        <v>328</v>
      </c>
      <c r="F147" s="7"/>
      <c r="G147" s="6" t="s">
        <v>19</v>
      </c>
      <c r="H147" s="8">
        <v>0.0</v>
      </c>
      <c r="I147" s="22">
        <v>20.0</v>
      </c>
      <c r="J147" s="10">
        <v>55.0</v>
      </c>
      <c r="K147" s="6" t="s">
        <v>24</v>
      </c>
      <c r="L147" s="7"/>
      <c r="M147" s="7"/>
      <c r="N147" s="7"/>
      <c r="O147" s="13">
        <v>45988.0</v>
      </c>
      <c r="P147" s="12">
        <f>if(A147='QB Import materials'!A146,0,1)</f>
        <v>0</v>
      </c>
    </row>
    <row r="148" ht="22.5" customHeight="1">
      <c r="A148" s="6" t="s">
        <v>330</v>
      </c>
      <c r="B148" s="6" t="s">
        <v>331</v>
      </c>
      <c r="C148" s="6" t="s">
        <v>27</v>
      </c>
      <c r="D148" s="7"/>
      <c r="E148" s="6" t="s">
        <v>330</v>
      </c>
      <c r="F148" s="7"/>
      <c r="G148" s="6" t="s">
        <v>19</v>
      </c>
      <c r="H148" s="8">
        <v>0.0</v>
      </c>
      <c r="I148" s="9">
        <v>8.36</v>
      </c>
      <c r="J148" s="10">
        <v>13.97</v>
      </c>
      <c r="K148" s="14"/>
      <c r="L148" s="7"/>
      <c r="M148" s="7"/>
      <c r="N148" s="7"/>
      <c r="O148" s="11">
        <v>45860.0</v>
      </c>
      <c r="P148" s="12">
        <f>if(A148='QB Import materials'!A147,0,1)</f>
        <v>0</v>
      </c>
    </row>
    <row r="149" ht="22.5" customHeight="1">
      <c r="A149" s="6" t="s">
        <v>332</v>
      </c>
      <c r="B149" s="6" t="s">
        <v>333</v>
      </c>
      <c r="C149" s="6" t="s">
        <v>27</v>
      </c>
      <c r="D149" s="7"/>
      <c r="E149" s="6" t="s">
        <v>332</v>
      </c>
      <c r="F149" s="7"/>
      <c r="G149" s="6" t="s">
        <v>19</v>
      </c>
      <c r="H149" s="8">
        <v>0.0</v>
      </c>
      <c r="I149" s="9">
        <v>17.0</v>
      </c>
      <c r="J149" s="10">
        <v>28.42</v>
      </c>
      <c r="K149" s="14"/>
      <c r="L149" s="7"/>
      <c r="M149" s="7"/>
      <c r="N149" s="7"/>
      <c r="O149" s="13">
        <v>45988.0</v>
      </c>
      <c r="P149" s="12">
        <f>if(A149='QB Import materials'!A148,0,1)</f>
        <v>0</v>
      </c>
    </row>
    <row r="150" ht="22.5" customHeight="1">
      <c r="A150" s="6" t="s">
        <v>334</v>
      </c>
      <c r="B150" s="6" t="s">
        <v>335</v>
      </c>
      <c r="C150" s="6" t="s">
        <v>27</v>
      </c>
      <c r="D150" s="7"/>
      <c r="E150" s="6" t="s">
        <v>336</v>
      </c>
      <c r="F150" s="7"/>
      <c r="G150" s="6" t="s">
        <v>19</v>
      </c>
      <c r="H150" s="8">
        <v>0.0</v>
      </c>
      <c r="I150" s="9">
        <v>13.96</v>
      </c>
      <c r="J150" s="10">
        <v>32.65</v>
      </c>
      <c r="K150" s="7"/>
      <c r="L150" s="7"/>
      <c r="M150" s="7"/>
      <c r="N150" s="7"/>
      <c r="O150" s="11">
        <v>45989.0</v>
      </c>
      <c r="P150" s="12">
        <f>if(A150='QB Import materials'!A149,0,1)</f>
        <v>0</v>
      </c>
    </row>
    <row r="151" ht="22.5" customHeight="1">
      <c r="A151" s="6" t="s">
        <v>337</v>
      </c>
      <c r="B151" s="6" t="s">
        <v>338</v>
      </c>
      <c r="C151" s="6" t="s">
        <v>27</v>
      </c>
      <c r="D151" s="7"/>
      <c r="E151" s="6" t="s">
        <v>337</v>
      </c>
      <c r="F151" s="7"/>
      <c r="G151" s="6" t="s">
        <v>19</v>
      </c>
      <c r="H151" s="8">
        <v>0.0</v>
      </c>
      <c r="I151" s="9">
        <v>595.0</v>
      </c>
      <c r="J151" s="10">
        <v>876.15</v>
      </c>
      <c r="K151" s="6" t="s">
        <v>24</v>
      </c>
      <c r="L151" s="7"/>
      <c r="M151" s="7"/>
      <c r="N151" s="7"/>
      <c r="O151" s="11">
        <v>45988.0</v>
      </c>
      <c r="P151" s="12">
        <f>if(A151='QB Import materials'!A150,0,1)</f>
        <v>0</v>
      </c>
    </row>
    <row r="152" ht="22.5" customHeight="1">
      <c r="A152" s="6" t="s">
        <v>339</v>
      </c>
      <c r="B152" s="6" t="s">
        <v>340</v>
      </c>
      <c r="C152" s="6" t="s">
        <v>27</v>
      </c>
      <c r="D152" s="7"/>
      <c r="E152" s="6" t="s">
        <v>339</v>
      </c>
      <c r="F152" s="7"/>
      <c r="G152" s="6" t="s">
        <v>19</v>
      </c>
      <c r="H152" s="8">
        <v>0.0</v>
      </c>
      <c r="I152" s="9">
        <v>700.0</v>
      </c>
      <c r="J152" s="10">
        <v>1170.06</v>
      </c>
      <c r="K152" s="7"/>
      <c r="L152" s="7"/>
      <c r="M152" s="7"/>
      <c r="N152" s="7"/>
      <c r="O152" s="11">
        <v>45988.0</v>
      </c>
      <c r="P152" s="12">
        <f>if(A152='QB Import materials'!A151,0,1)</f>
        <v>0</v>
      </c>
    </row>
    <row r="153" ht="22.5" customHeight="1">
      <c r="A153" s="6" t="s">
        <v>341</v>
      </c>
      <c r="B153" s="6" t="s">
        <v>342</v>
      </c>
      <c r="C153" s="6" t="s">
        <v>27</v>
      </c>
      <c r="D153" s="7"/>
      <c r="E153" s="6" t="s">
        <v>341</v>
      </c>
      <c r="F153" s="7"/>
      <c r="G153" s="6" t="s">
        <v>19</v>
      </c>
      <c r="H153" s="8">
        <v>0.0</v>
      </c>
      <c r="I153" s="9">
        <v>352.0</v>
      </c>
      <c r="J153" s="10">
        <v>561.0</v>
      </c>
      <c r="K153" s="6" t="s">
        <v>24</v>
      </c>
      <c r="L153" s="7"/>
      <c r="M153" s="7"/>
      <c r="N153" s="7"/>
      <c r="O153" s="11">
        <v>45988.0</v>
      </c>
      <c r="P153" s="12">
        <f>if(A153='QB Import materials'!A152,0,1)</f>
        <v>0</v>
      </c>
    </row>
    <row r="154" ht="22.5" customHeight="1">
      <c r="A154" s="6" t="s">
        <v>343</v>
      </c>
      <c r="B154" s="6" t="s">
        <v>344</v>
      </c>
      <c r="C154" s="6" t="s">
        <v>27</v>
      </c>
      <c r="D154" s="7"/>
      <c r="E154" s="6" t="s">
        <v>343</v>
      </c>
      <c r="F154" s="7"/>
      <c r="G154" s="6" t="s">
        <v>19</v>
      </c>
      <c r="H154" s="8">
        <v>0.0</v>
      </c>
      <c r="I154" s="9">
        <v>452.0</v>
      </c>
      <c r="J154" s="10">
        <v>738.0</v>
      </c>
      <c r="K154" s="6" t="s">
        <v>24</v>
      </c>
      <c r="L154" s="7"/>
      <c r="M154" s="7"/>
      <c r="N154" s="7"/>
      <c r="O154" s="11">
        <v>45988.0</v>
      </c>
      <c r="P154" s="12">
        <f>if(A154='QB Import materials'!A153,0,1)</f>
        <v>0</v>
      </c>
    </row>
    <row r="155" ht="22.5" customHeight="1">
      <c r="A155" s="6" t="s">
        <v>345</v>
      </c>
      <c r="B155" s="6" t="s">
        <v>346</v>
      </c>
      <c r="C155" s="6" t="s">
        <v>27</v>
      </c>
      <c r="D155" s="7"/>
      <c r="E155" s="6" t="s">
        <v>345</v>
      </c>
      <c r="F155" s="7"/>
      <c r="G155" s="6" t="s">
        <v>93</v>
      </c>
      <c r="H155" s="8">
        <v>0.0</v>
      </c>
      <c r="I155" s="9">
        <v>1.0</v>
      </c>
      <c r="J155" s="10">
        <v>1.67</v>
      </c>
      <c r="K155" s="14"/>
      <c r="L155" s="7"/>
      <c r="M155" s="7"/>
      <c r="N155" s="7"/>
      <c r="O155" s="11">
        <v>45988.0</v>
      </c>
      <c r="P155" s="12">
        <f>if(A155='QB Import materials'!A154,0,1)</f>
        <v>0</v>
      </c>
    </row>
    <row r="156" ht="22.5" customHeight="1">
      <c r="A156" s="6" t="s">
        <v>347</v>
      </c>
      <c r="B156" s="6" t="s">
        <v>348</v>
      </c>
      <c r="C156" s="6" t="s">
        <v>27</v>
      </c>
      <c r="D156" s="7"/>
      <c r="E156" s="6" t="s">
        <v>347</v>
      </c>
      <c r="F156" s="7"/>
      <c r="G156" s="6" t="s">
        <v>19</v>
      </c>
      <c r="H156" s="8">
        <v>0.0</v>
      </c>
      <c r="I156" s="9">
        <v>1.0</v>
      </c>
      <c r="J156" s="10">
        <v>1.67</v>
      </c>
      <c r="K156" s="14"/>
      <c r="L156" s="7"/>
      <c r="M156" s="7"/>
      <c r="N156" s="7"/>
      <c r="O156" s="11">
        <v>45988.0</v>
      </c>
      <c r="P156" s="12">
        <f>if(A156='QB Import materials'!A155,0,1)</f>
        <v>0</v>
      </c>
    </row>
    <row r="157" ht="22.5" customHeight="1">
      <c r="A157" s="6" t="s">
        <v>349</v>
      </c>
      <c r="B157" s="6" t="s">
        <v>350</v>
      </c>
      <c r="C157" s="6" t="s">
        <v>27</v>
      </c>
      <c r="D157" s="7"/>
      <c r="E157" s="6" t="s">
        <v>349</v>
      </c>
      <c r="F157" s="7"/>
      <c r="G157" s="6" t="s">
        <v>19</v>
      </c>
      <c r="H157" s="8">
        <v>0.0</v>
      </c>
      <c r="I157" s="9">
        <v>5.59</v>
      </c>
      <c r="J157" s="10">
        <v>11.19</v>
      </c>
      <c r="K157" s="6" t="s">
        <v>24</v>
      </c>
      <c r="L157" s="15"/>
      <c r="M157" s="7"/>
      <c r="N157" s="7"/>
      <c r="O157" s="11">
        <v>45989.0</v>
      </c>
      <c r="P157" s="12">
        <f>if(A157='QB Import materials'!A156,0,1)</f>
        <v>0</v>
      </c>
    </row>
    <row r="158" ht="22.5" customHeight="1">
      <c r="A158" s="6" t="s">
        <v>351</v>
      </c>
      <c r="B158" s="6" t="s">
        <v>352</v>
      </c>
      <c r="C158" s="6" t="s">
        <v>27</v>
      </c>
      <c r="D158" s="7"/>
      <c r="E158" s="6" t="s">
        <v>351</v>
      </c>
      <c r="F158" s="7"/>
      <c r="G158" s="6" t="s">
        <v>19</v>
      </c>
      <c r="H158" s="8">
        <v>0.0</v>
      </c>
      <c r="I158" s="9">
        <v>10.77</v>
      </c>
      <c r="J158" s="10">
        <v>27.0</v>
      </c>
      <c r="K158" s="6" t="s">
        <v>24</v>
      </c>
      <c r="L158" s="15"/>
      <c r="M158" s="7"/>
      <c r="N158" s="7"/>
      <c r="O158" s="11">
        <v>45988.0</v>
      </c>
      <c r="P158" s="12">
        <f>if(A158='QB Import materials'!A157,0,1)</f>
        <v>0</v>
      </c>
    </row>
    <row r="159" ht="22.5" customHeight="1">
      <c r="A159" s="6" t="s">
        <v>353</v>
      </c>
      <c r="B159" s="6" t="s">
        <v>354</v>
      </c>
      <c r="C159" s="6"/>
      <c r="D159" s="7"/>
      <c r="E159" s="6" t="s">
        <v>353</v>
      </c>
      <c r="F159" s="7"/>
      <c r="G159" s="6" t="s">
        <v>19</v>
      </c>
      <c r="H159" s="8"/>
      <c r="I159" s="9">
        <v>32.9</v>
      </c>
      <c r="J159" s="10">
        <v>50.0</v>
      </c>
      <c r="K159" s="6"/>
      <c r="L159" s="15"/>
      <c r="M159" s="7"/>
      <c r="N159" s="7"/>
      <c r="O159" s="11"/>
      <c r="P159" s="12">
        <f>if(A159='QB Import materials'!A158,0,1)</f>
        <v>0</v>
      </c>
    </row>
    <row r="160" ht="22.5" customHeight="1">
      <c r="A160" s="6" t="s">
        <v>355</v>
      </c>
      <c r="B160" s="6" t="s">
        <v>356</v>
      </c>
      <c r="C160" s="6" t="s">
        <v>27</v>
      </c>
      <c r="D160" s="7"/>
      <c r="E160" s="6" t="s">
        <v>355</v>
      </c>
      <c r="F160" s="7"/>
      <c r="G160" s="6" t="s">
        <v>19</v>
      </c>
      <c r="H160" s="8">
        <v>0.0</v>
      </c>
      <c r="I160" s="9">
        <v>75.05</v>
      </c>
      <c r="J160" s="10">
        <v>144.32</v>
      </c>
      <c r="K160" s="6" t="s">
        <v>24</v>
      </c>
      <c r="L160" s="15"/>
      <c r="M160" s="7"/>
      <c r="N160" s="7"/>
      <c r="O160" s="11">
        <v>45988.0</v>
      </c>
      <c r="P160" s="12">
        <f>if(A160='QB Import materials'!A159,0,1)</f>
        <v>0</v>
      </c>
    </row>
    <row r="161" ht="22.5" customHeight="1">
      <c r="A161" s="6" t="s">
        <v>357</v>
      </c>
      <c r="B161" s="6" t="s">
        <v>358</v>
      </c>
      <c r="C161" s="6" t="s">
        <v>27</v>
      </c>
      <c r="D161" s="7"/>
      <c r="E161" s="6" t="s">
        <v>357</v>
      </c>
      <c r="F161" s="7"/>
      <c r="G161" s="6" t="s">
        <v>19</v>
      </c>
      <c r="H161" s="8">
        <v>0.0</v>
      </c>
      <c r="I161" s="9">
        <v>8.36</v>
      </c>
      <c r="J161" s="10">
        <v>12.65</v>
      </c>
      <c r="K161" s="6" t="s">
        <v>24</v>
      </c>
      <c r="L161" s="7"/>
      <c r="M161" s="7"/>
      <c r="N161" s="7"/>
      <c r="O161" s="11">
        <v>45988.0</v>
      </c>
      <c r="P161" s="12">
        <f>if(A161='QB Import materials'!A160,0,1)</f>
        <v>0</v>
      </c>
    </row>
    <row r="162" ht="22.5" customHeight="1">
      <c r="A162" s="6" t="s">
        <v>359</v>
      </c>
      <c r="B162" s="6" t="s">
        <v>360</v>
      </c>
      <c r="C162" s="6" t="s">
        <v>27</v>
      </c>
      <c r="D162" s="7"/>
      <c r="E162" s="6" t="s">
        <v>359</v>
      </c>
      <c r="F162" s="7"/>
      <c r="G162" s="6" t="s">
        <v>19</v>
      </c>
      <c r="H162" s="8">
        <v>0.0</v>
      </c>
      <c r="I162" s="9">
        <v>74.31</v>
      </c>
      <c r="J162" s="10">
        <v>148.62</v>
      </c>
      <c r="K162" s="14"/>
      <c r="L162" s="7"/>
      <c r="M162" s="7"/>
      <c r="N162" s="7"/>
      <c r="O162" s="11">
        <v>45705.0</v>
      </c>
      <c r="P162" s="12">
        <f>if(A162='QB Import materials'!A161,0,1)</f>
        <v>0</v>
      </c>
    </row>
    <row r="163" ht="22.5" customHeight="1">
      <c r="A163" s="6" t="s">
        <v>361</v>
      </c>
      <c r="B163" s="6" t="s">
        <v>362</v>
      </c>
      <c r="C163" s="6" t="s">
        <v>27</v>
      </c>
      <c r="D163" s="7"/>
      <c r="E163" s="6" t="s">
        <v>361</v>
      </c>
      <c r="F163" s="7"/>
      <c r="G163" s="6" t="s">
        <v>19</v>
      </c>
      <c r="H163" s="8">
        <v>0.0</v>
      </c>
      <c r="I163" s="9">
        <v>136.82</v>
      </c>
      <c r="J163" s="10">
        <v>273.65</v>
      </c>
      <c r="K163" s="14"/>
      <c r="L163" s="7"/>
      <c r="M163" s="7"/>
      <c r="N163" s="7"/>
      <c r="O163" s="11">
        <v>45705.0</v>
      </c>
      <c r="P163" s="12">
        <f>if(A163='QB Import materials'!A162,0,1)</f>
        <v>0</v>
      </c>
    </row>
    <row r="164" ht="22.5" customHeight="1">
      <c r="A164" s="6" t="s">
        <v>363</v>
      </c>
      <c r="B164" s="6" t="s">
        <v>364</v>
      </c>
      <c r="C164" s="6" t="s">
        <v>27</v>
      </c>
      <c r="D164" s="7"/>
      <c r="E164" s="6" t="s">
        <v>363</v>
      </c>
      <c r="F164" s="7"/>
      <c r="G164" s="6" t="s">
        <v>23</v>
      </c>
      <c r="H164" s="8">
        <v>0.0</v>
      </c>
      <c r="I164" s="9">
        <v>0.43</v>
      </c>
      <c r="J164" s="10">
        <v>1.2</v>
      </c>
      <c r="K164" s="6" t="s">
        <v>24</v>
      </c>
      <c r="L164" s="7"/>
      <c r="M164" s="7"/>
      <c r="N164" s="7"/>
      <c r="O164" s="11">
        <v>45988.0</v>
      </c>
      <c r="P164" s="12">
        <f>if(A164='QB Import materials'!A163,0,1)</f>
        <v>0</v>
      </c>
    </row>
    <row r="165" ht="22.5" customHeight="1">
      <c r="A165" s="6" t="s">
        <v>365</v>
      </c>
      <c r="B165" s="6" t="s">
        <v>366</v>
      </c>
      <c r="C165" s="6" t="s">
        <v>27</v>
      </c>
      <c r="D165" s="7"/>
      <c r="E165" s="6" t="s">
        <v>365</v>
      </c>
      <c r="F165" s="7"/>
      <c r="G165" s="6" t="s">
        <v>134</v>
      </c>
      <c r="H165" s="8">
        <v>0.0</v>
      </c>
      <c r="I165" s="9">
        <v>24.0</v>
      </c>
      <c r="J165" s="10">
        <v>40.12</v>
      </c>
      <c r="K165" s="7"/>
      <c r="L165" s="7"/>
      <c r="M165" s="7"/>
      <c r="N165" s="7"/>
      <c r="O165" s="11">
        <v>45988.0</v>
      </c>
      <c r="P165" s="12">
        <f>if(A165='QB Import materials'!A164,0,1)</f>
        <v>0</v>
      </c>
    </row>
    <row r="166" ht="22.5" customHeight="1">
      <c r="A166" s="6" t="s">
        <v>367</v>
      </c>
      <c r="B166" s="6" t="s">
        <v>368</v>
      </c>
      <c r="C166" s="6" t="s">
        <v>27</v>
      </c>
      <c r="D166" s="7"/>
      <c r="E166" s="6" t="s">
        <v>367</v>
      </c>
      <c r="F166" s="7"/>
      <c r="G166" s="6" t="s">
        <v>248</v>
      </c>
      <c r="H166" s="8">
        <v>0.0</v>
      </c>
      <c r="I166" s="9">
        <v>47.0</v>
      </c>
      <c r="J166" s="10">
        <v>47.0</v>
      </c>
      <c r="K166" s="6" t="s">
        <v>24</v>
      </c>
      <c r="L166" s="7"/>
      <c r="M166" s="7"/>
      <c r="N166" s="7"/>
      <c r="O166" s="11">
        <v>45988.0</v>
      </c>
      <c r="P166" s="12">
        <f>if(A166='QB Import materials'!A165,0,1)</f>
        <v>0</v>
      </c>
    </row>
    <row r="167" ht="22.5" customHeight="1">
      <c r="A167" s="6" t="s">
        <v>369</v>
      </c>
      <c r="B167" s="6" t="s">
        <v>370</v>
      </c>
      <c r="C167" s="6" t="s">
        <v>27</v>
      </c>
      <c r="D167" s="7"/>
      <c r="E167" s="6" t="s">
        <v>369</v>
      </c>
      <c r="F167" s="7"/>
      <c r="G167" s="6" t="s">
        <v>248</v>
      </c>
      <c r="H167" s="8">
        <v>0.0</v>
      </c>
      <c r="I167" s="9">
        <v>25.97</v>
      </c>
      <c r="J167" s="10">
        <v>32.46</v>
      </c>
      <c r="K167" s="6" t="s">
        <v>24</v>
      </c>
      <c r="L167" s="7"/>
      <c r="M167" s="7"/>
      <c r="N167" s="7"/>
      <c r="O167" s="11">
        <v>46129.0</v>
      </c>
      <c r="P167" s="12">
        <f>if(A167='QB Import materials'!A166,0,1)</f>
        <v>0</v>
      </c>
    </row>
    <row r="168" ht="22.5" customHeight="1">
      <c r="A168" s="6" t="s">
        <v>371</v>
      </c>
      <c r="B168" s="6" t="s">
        <v>372</v>
      </c>
      <c r="C168" s="6" t="s">
        <v>27</v>
      </c>
      <c r="D168" s="7"/>
      <c r="E168" s="6" t="s">
        <v>371</v>
      </c>
      <c r="F168" s="7"/>
      <c r="G168" s="6" t="s">
        <v>121</v>
      </c>
      <c r="H168" s="8">
        <v>0.0</v>
      </c>
      <c r="I168" s="9">
        <v>450.0</v>
      </c>
      <c r="J168" s="10">
        <v>650.0</v>
      </c>
      <c r="K168" s="7"/>
      <c r="L168" s="7"/>
      <c r="M168" s="7"/>
      <c r="N168" s="7"/>
      <c r="O168" s="11">
        <v>45988.0</v>
      </c>
      <c r="P168" s="12">
        <f>if(A168='QB Import materials'!A167,0,1)</f>
        <v>0</v>
      </c>
    </row>
    <row r="169" ht="22.5" customHeight="1">
      <c r="A169" s="6" t="s">
        <v>373</v>
      </c>
      <c r="B169" s="6" t="s">
        <v>374</v>
      </c>
      <c r="C169" s="6" t="s">
        <v>27</v>
      </c>
      <c r="D169" s="7"/>
      <c r="E169" s="6" t="s">
        <v>373</v>
      </c>
      <c r="F169" s="7"/>
      <c r="G169" s="6" t="s">
        <v>375</v>
      </c>
      <c r="H169" s="8">
        <v>0.0</v>
      </c>
      <c r="I169" s="9">
        <v>8.0</v>
      </c>
      <c r="J169" s="10">
        <v>13.37</v>
      </c>
      <c r="K169" s="14"/>
      <c r="L169" s="7"/>
      <c r="M169" s="7"/>
      <c r="N169" s="7"/>
      <c r="O169" s="13">
        <v>45988.0</v>
      </c>
      <c r="P169" s="12">
        <f>if(A169='QB Import materials'!A168,0,1)</f>
        <v>0</v>
      </c>
    </row>
    <row r="170" ht="22.5" customHeight="1">
      <c r="A170" s="6" t="s">
        <v>376</v>
      </c>
      <c r="B170" s="6" t="s">
        <v>377</v>
      </c>
      <c r="C170" s="6" t="s">
        <v>27</v>
      </c>
      <c r="D170" s="7"/>
      <c r="E170" s="6" t="s">
        <v>376</v>
      </c>
      <c r="F170" s="7"/>
      <c r="G170" s="6" t="s">
        <v>375</v>
      </c>
      <c r="H170" s="8">
        <v>0.0</v>
      </c>
      <c r="I170" s="9">
        <v>12.0</v>
      </c>
      <c r="J170" s="10">
        <v>20.06</v>
      </c>
      <c r="K170" s="7"/>
      <c r="L170" s="7"/>
      <c r="M170" s="7"/>
      <c r="N170" s="7"/>
      <c r="O170" s="13">
        <v>45988.0</v>
      </c>
      <c r="P170" s="12">
        <f>if(A170='QB Import materials'!A169,0,1)</f>
        <v>0</v>
      </c>
    </row>
    <row r="171" ht="22.5" customHeight="1">
      <c r="A171" s="6" t="s">
        <v>378</v>
      </c>
      <c r="B171" s="6" t="s">
        <v>379</v>
      </c>
      <c r="C171" s="6" t="s">
        <v>27</v>
      </c>
      <c r="D171" s="7"/>
      <c r="E171" s="6" t="s">
        <v>378</v>
      </c>
      <c r="F171" s="7"/>
      <c r="G171" s="6" t="s">
        <v>19</v>
      </c>
      <c r="H171" s="8">
        <v>0.0</v>
      </c>
      <c r="I171" s="9">
        <v>90.0</v>
      </c>
      <c r="J171" s="10">
        <v>159.3</v>
      </c>
      <c r="K171" s="6" t="s">
        <v>24</v>
      </c>
      <c r="L171" s="7"/>
      <c r="M171" s="7"/>
      <c r="N171" s="7"/>
      <c r="O171" s="11">
        <v>45988.0</v>
      </c>
      <c r="P171" s="12">
        <f>if(A171='QB Import materials'!A170,0,1)</f>
        <v>0</v>
      </c>
    </row>
    <row r="172" ht="22.5" customHeight="1">
      <c r="A172" s="6" t="s">
        <v>380</v>
      </c>
      <c r="B172" s="6" t="s">
        <v>381</v>
      </c>
      <c r="C172" s="6" t="s">
        <v>27</v>
      </c>
      <c r="D172" s="7"/>
      <c r="E172" s="6" t="s">
        <v>380</v>
      </c>
      <c r="F172" s="7"/>
      <c r="G172" s="6" t="s">
        <v>19</v>
      </c>
      <c r="H172" s="8">
        <v>0.0</v>
      </c>
      <c r="I172" s="9">
        <v>25.0</v>
      </c>
      <c r="J172" s="10">
        <v>44.25</v>
      </c>
      <c r="K172" s="6" t="s">
        <v>24</v>
      </c>
      <c r="L172" s="7"/>
      <c r="M172" s="7"/>
      <c r="N172" s="7"/>
      <c r="O172" s="11">
        <v>45988.0</v>
      </c>
      <c r="P172" s="12">
        <f>if(A172='QB Import materials'!A171,0,1)</f>
        <v>0</v>
      </c>
    </row>
    <row r="173" ht="22.5" customHeight="1">
      <c r="A173" s="6" t="s">
        <v>382</v>
      </c>
      <c r="B173" s="6" t="s">
        <v>383</v>
      </c>
      <c r="C173" s="6" t="s">
        <v>27</v>
      </c>
      <c r="D173" s="7"/>
      <c r="E173" s="6" t="s">
        <v>382</v>
      </c>
      <c r="F173" s="7"/>
      <c r="G173" s="6" t="s">
        <v>19</v>
      </c>
      <c r="H173" s="8">
        <v>0.0</v>
      </c>
      <c r="I173" s="9">
        <v>35.0</v>
      </c>
      <c r="J173" s="10">
        <v>62.0</v>
      </c>
      <c r="K173" s="6" t="s">
        <v>24</v>
      </c>
      <c r="L173" s="7"/>
      <c r="M173" s="7"/>
      <c r="N173" s="7"/>
      <c r="O173" s="11">
        <v>45988.0</v>
      </c>
      <c r="P173" s="12">
        <f>if(A173='QB Import materials'!A172,0,1)</f>
        <v>0</v>
      </c>
    </row>
    <row r="174" ht="22.5" customHeight="1">
      <c r="A174" s="6" t="s">
        <v>384</v>
      </c>
      <c r="B174" s="6" t="s">
        <v>385</v>
      </c>
      <c r="C174" s="6" t="s">
        <v>27</v>
      </c>
      <c r="D174" s="7"/>
      <c r="E174" s="6" t="s">
        <v>384</v>
      </c>
      <c r="F174" s="7"/>
      <c r="G174" s="6" t="s">
        <v>19</v>
      </c>
      <c r="H174" s="8">
        <v>0.0</v>
      </c>
      <c r="I174" s="9">
        <v>72.0</v>
      </c>
      <c r="J174" s="10">
        <v>127.44</v>
      </c>
      <c r="K174" s="6" t="s">
        <v>24</v>
      </c>
      <c r="L174" s="7"/>
      <c r="M174" s="7"/>
      <c r="N174" s="7"/>
      <c r="O174" s="11">
        <v>45988.0</v>
      </c>
      <c r="P174" s="12">
        <f>if(A174='QB Import materials'!A173,0,1)</f>
        <v>0</v>
      </c>
    </row>
    <row r="175" ht="22.5" customHeight="1">
      <c r="A175" s="6" t="s">
        <v>386</v>
      </c>
      <c r="B175" s="6" t="s">
        <v>387</v>
      </c>
      <c r="C175" s="6" t="s">
        <v>27</v>
      </c>
      <c r="D175" s="7"/>
      <c r="E175" s="6" t="s">
        <v>386</v>
      </c>
      <c r="F175" s="7"/>
      <c r="G175" s="6" t="s">
        <v>19</v>
      </c>
      <c r="H175" s="8">
        <v>0.0</v>
      </c>
      <c r="I175" s="9">
        <v>300.0</v>
      </c>
      <c r="J175" s="10">
        <v>501.45</v>
      </c>
      <c r="K175" s="7"/>
      <c r="L175" s="16">
        <v>0.29</v>
      </c>
      <c r="M175" s="7"/>
      <c r="N175" s="7"/>
      <c r="O175" s="11">
        <v>45988.0</v>
      </c>
      <c r="P175" s="12">
        <f>if(A175='QB Import materials'!A174,0,1)</f>
        <v>0</v>
      </c>
    </row>
    <row r="176" ht="22.5" customHeight="1">
      <c r="A176" s="6" t="s">
        <v>388</v>
      </c>
      <c r="B176" s="6" t="s">
        <v>389</v>
      </c>
      <c r="C176" s="6" t="s">
        <v>27</v>
      </c>
      <c r="D176" s="7"/>
      <c r="E176" s="6" t="s">
        <v>388</v>
      </c>
      <c r="F176" s="7"/>
      <c r="G176" s="6" t="s">
        <v>19</v>
      </c>
      <c r="H176" s="8">
        <v>0.0</v>
      </c>
      <c r="I176" s="9">
        <v>41.0</v>
      </c>
      <c r="J176" s="10">
        <v>68.53</v>
      </c>
      <c r="K176" s="14"/>
      <c r="L176" s="16">
        <v>0.29</v>
      </c>
      <c r="M176" s="7"/>
      <c r="N176" s="7"/>
      <c r="O176" s="11">
        <v>45988.0</v>
      </c>
      <c r="P176" s="12">
        <f>if(A176='QB Import materials'!A175,0,1)</f>
        <v>0</v>
      </c>
    </row>
    <row r="177" ht="22.5" customHeight="1">
      <c r="A177" s="6" t="s">
        <v>390</v>
      </c>
      <c r="B177" s="6" t="s">
        <v>391</v>
      </c>
      <c r="C177" s="6" t="s">
        <v>27</v>
      </c>
      <c r="D177" s="7"/>
      <c r="E177" s="6" t="s">
        <v>390</v>
      </c>
      <c r="F177" s="7"/>
      <c r="G177" s="6" t="s">
        <v>19</v>
      </c>
      <c r="H177" s="8">
        <v>0.0</v>
      </c>
      <c r="I177" s="9">
        <v>78.0</v>
      </c>
      <c r="J177" s="10">
        <v>130.38</v>
      </c>
      <c r="K177" s="14"/>
      <c r="L177" s="16">
        <v>0.29</v>
      </c>
      <c r="M177" s="7"/>
      <c r="N177" s="7"/>
      <c r="O177" s="11">
        <v>45988.0</v>
      </c>
      <c r="P177" s="12">
        <f>if(A177='QB Import materials'!A176,0,1)</f>
        <v>0</v>
      </c>
    </row>
    <row r="178" ht="22.5" customHeight="1">
      <c r="A178" s="6" t="s">
        <v>392</v>
      </c>
      <c r="B178" s="6" t="s">
        <v>393</v>
      </c>
      <c r="C178" s="6" t="s">
        <v>27</v>
      </c>
      <c r="D178" s="7"/>
      <c r="E178" s="6" t="s">
        <v>392</v>
      </c>
      <c r="F178" s="7"/>
      <c r="G178" s="6" t="s">
        <v>19</v>
      </c>
      <c r="H178" s="8">
        <v>0.0</v>
      </c>
      <c r="I178" s="9">
        <v>190.0</v>
      </c>
      <c r="J178" s="10">
        <v>336.3</v>
      </c>
      <c r="K178" s="6" t="s">
        <v>24</v>
      </c>
      <c r="L178" s="7"/>
      <c r="M178" s="7"/>
      <c r="N178" s="7"/>
      <c r="O178" s="11">
        <v>45988.0</v>
      </c>
      <c r="P178" s="12">
        <f>if(A178='QB Import materials'!A177,0,1)</f>
        <v>0</v>
      </c>
    </row>
    <row r="179" ht="22.5" customHeight="1">
      <c r="A179" s="6" t="s">
        <v>394</v>
      </c>
      <c r="B179" s="6" t="s">
        <v>395</v>
      </c>
      <c r="C179" s="6" t="s">
        <v>27</v>
      </c>
      <c r="D179" s="7"/>
      <c r="E179" s="6" t="s">
        <v>394</v>
      </c>
      <c r="F179" s="7"/>
      <c r="G179" s="6" t="s">
        <v>19</v>
      </c>
      <c r="H179" s="8">
        <v>0.0</v>
      </c>
      <c r="I179" s="9">
        <v>203.0</v>
      </c>
      <c r="J179" s="10">
        <v>359.31</v>
      </c>
      <c r="K179" s="6" t="s">
        <v>24</v>
      </c>
      <c r="L179" s="7"/>
      <c r="M179" s="7"/>
      <c r="N179" s="7"/>
      <c r="O179" s="11">
        <v>45988.0</v>
      </c>
      <c r="P179" s="12">
        <f>if(A179='QB Import materials'!A178,0,1)</f>
        <v>0</v>
      </c>
    </row>
    <row r="180" ht="22.5" customHeight="1">
      <c r="A180" s="6" t="s">
        <v>396</v>
      </c>
      <c r="B180" s="6" t="s">
        <v>397</v>
      </c>
      <c r="C180" s="6" t="s">
        <v>27</v>
      </c>
      <c r="D180" s="7"/>
      <c r="E180" s="6" t="s">
        <v>396</v>
      </c>
      <c r="F180" s="7"/>
      <c r="G180" s="6" t="s">
        <v>23</v>
      </c>
      <c r="H180" s="8">
        <v>0.0</v>
      </c>
      <c r="I180" s="9">
        <v>0.06</v>
      </c>
      <c r="J180" s="10">
        <v>0.33</v>
      </c>
      <c r="K180" s="6" t="s">
        <v>24</v>
      </c>
      <c r="L180" s="7"/>
      <c r="M180" s="7"/>
      <c r="N180" s="7"/>
      <c r="O180" s="13">
        <v>45989.0</v>
      </c>
      <c r="P180" s="12">
        <f>if(A180='QB Import materials'!A179,0,1)</f>
        <v>0</v>
      </c>
    </row>
    <row r="181" ht="22.5" customHeight="1">
      <c r="A181" s="6" t="s">
        <v>398</v>
      </c>
      <c r="B181" s="6" t="s">
        <v>399</v>
      </c>
      <c r="C181" s="6" t="s">
        <v>27</v>
      </c>
      <c r="D181" s="7"/>
      <c r="E181" s="6" t="s">
        <v>398</v>
      </c>
      <c r="F181" s="7"/>
      <c r="G181" s="6" t="s">
        <v>19</v>
      </c>
      <c r="H181" s="8">
        <v>0.0</v>
      </c>
      <c r="I181" s="9">
        <v>4.2</v>
      </c>
      <c r="J181" s="10">
        <v>8.59</v>
      </c>
      <c r="K181" s="6" t="s">
        <v>24</v>
      </c>
      <c r="L181" s="7"/>
      <c r="M181" s="7"/>
      <c r="N181" s="7"/>
      <c r="O181" s="13">
        <v>45988.0</v>
      </c>
      <c r="P181" s="12">
        <f>if(A181='QB Import materials'!A180,0,1)</f>
        <v>0</v>
      </c>
    </row>
    <row r="182" ht="22.5" customHeight="1">
      <c r="A182" s="6" t="s">
        <v>400</v>
      </c>
      <c r="B182" s="6" t="s">
        <v>401</v>
      </c>
      <c r="C182" s="6" t="s">
        <v>27</v>
      </c>
      <c r="D182" s="7"/>
      <c r="E182" s="6" t="s">
        <v>400</v>
      </c>
      <c r="F182" s="7"/>
      <c r="G182" s="6" t="s">
        <v>19</v>
      </c>
      <c r="H182" s="8">
        <v>0.0</v>
      </c>
      <c r="I182" s="9">
        <v>10.13</v>
      </c>
      <c r="J182" s="17">
        <v>20.96</v>
      </c>
      <c r="K182" s="6" t="s">
        <v>24</v>
      </c>
      <c r="L182" s="7"/>
      <c r="M182" s="7"/>
      <c r="N182" s="7"/>
      <c r="O182" s="13">
        <v>45988.0</v>
      </c>
      <c r="P182" s="12">
        <f>if(A182='QB Import materials'!A181,0,1)</f>
        <v>0</v>
      </c>
    </row>
    <row r="183" ht="22.5" customHeight="1">
      <c r="A183" s="6" t="s">
        <v>402</v>
      </c>
      <c r="B183" s="6" t="s">
        <v>403</v>
      </c>
      <c r="C183" s="6" t="s">
        <v>27</v>
      </c>
      <c r="D183" s="7"/>
      <c r="E183" s="6" t="s">
        <v>404</v>
      </c>
      <c r="F183" s="7"/>
      <c r="G183" s="6" t="s">
        <v>19</v>
      </c>
      <c r="H183" s="8">
        <v>0.0</v>
      </c>
      <c r="I183" s="9">
        <v>12.44</v>
      </c>
      <c r="J183" s="18">
        <v>24.89</v>
      </c>
      <c r="K183" s="6" t="s">
        <v>24</v>
      </c>
      <c r="L183" s="7"/>
      <c r="M183" s="7"/>
      <c r="N183" s="7"/>
      <c r="O183" s="13">
        <v>45988.0</v>
      </c>
      <c r="P183" s="12">
        <f>if(A183='QB Import materials'!A182,0,1)</f>
        <v>0</v>
      </c>
    </row>
    <row r="184" ht="22.5" customHeight="1">
      <c r="A184" s="6" t="s">
        <v>405</v>
      </c>
      <c r="B184" s="6" t="s">
        <v>406</v>
      </c>
      <c r="C184" s="6" t="s">
        <v>27</v>
      </c>
      <c r="D184" s="7"/>
      <c r="E184" s="6" t="s">
        <v>405</v>
      </c>
      <c r="F184" s="7"/>
      <c r="G184" s="6" t="s">
        <v>19</v>
      </c>
      <c r="H184" s="8">
        <v>0.0</v>
      </c>
      <c r="I184" s="9">
        <v>37.83</v>
      </c>
      <c r="J184" s="10">
        <v>72.75</v>
      </c>
      <c r="K184" s="6" t="s">
        <v>24</v>
      </c>
      <c r="L184" s="7"/>
      <c r="M184" s="7"/>
      <c r="N184" s="7"/>
      <c r="O184" s="13">
        <v>45988.0</v>
      </c>
      <c r="P184" s="12">
        <f>if(A184='QB Import materials'!A183,0,1)</f>
        <v>0</v>
      </c>
    </row>
    <row r="185" ht="22.5" customHeight="1">
      <c r="A185" s="6" t="s">
        <v>407</v>
      </c>
      <c r="B185" s="6" t="s">
        <v>408</v>
      </c>
      <c r="C185" s="6" t="s">
        <v>27</v>
      </c>
      <c r="D185" s="7"/>
      <c r="E185" s="6" t="s">
        <v>407</v>
      </c>
      <c r="F185" s="7"/>
      <c r="G185" s="6" t="s">
        <v>19</v>
      </c>
      <c r="H185" s="8">
        <v>0.0</v>
      </c>
      <c r="I185" s="9">
        <v>14.65</v>
      </c>
      <c r="J185" s="10">
        <v>32.68</v>
      </c>
      <c r="K185" s="6" t="s">
        <v>24</v>
      </c>
      <c r="L185" s="7"/>
      <c r="M185" s="7"/>
      <c r="N185" s="7"/>
      <c r="O185" s="13">
        <v>45988.0</v>
      </c>
      <c r="P185" s="12">
        <f>if(A185='QB Import materials'!A184,0,1)</f>
        <v>0</v>
      </c>
    </row>
    <row r="186" ht="22.5" customHeight="1">
      <c r="A186" s="6" t="s">
        <v>409</v>
      </c>
      <c r="B186" s="6" t="s">
        <v>410</v>
      </c>
      <c r="C186" s="6" t="s">
        <v>27</v>
      </c>
      <c r="D186" s="7"/>
      <c r="E186" s="6" t="s">
        <v>409</v>
      </c>
      <c r="F186" s="7"/>
      <c r="G186" s="6" t="s">
        <v>19</v>
      </c>
      <c r="H186" s="8">
        <v>0.0</v>
      </c>
      <c r="I186" s="9">
        <v>695.0</v>
      </c>
      <c r="J186" s="10">
        <v>1230.2</v>
      </c>
      <c r="K186" s="6" t="s">
        <v>24</v>
      </c>
      <c r="L186" s="7"/>
      <c r="M186" s="7"/>
      <c r="N186" s="7"/>
      <c r="O186" s="13">
        <v>45988.0</v>
      </c>
      <c r="P186" s="12">
        <f>if(A186='QB Import materials'!A185,0,1)</f>
        <v>0</v>
      </c>
    </row>
    <row r="187" ht="22.5" customHeight="1">
      <c r="A187" s="6" t="s">
        <v>411</v>
      </c>
      <c r="B187" s="6" t="s">
        <v>412</v>
      </c>
      <c r="C187" s="6" t="s">
        <v>27</v>
      </c>
      <c r="D187" s="7"/>
      <c r="E187" s="6" t="s">
        <v>411</v>
      </c>
      <c r="F187" s="7"/>
      <c r="G187" s="6" t="s">
        <v>19</v>
      </c>
      <c r="H187" s="8">
        <v>0.0</v>
      </c>
      <c r="I187" s="9">
        <v>850.0</v>
      </c>
      <c r="J187" s="10">
        <v>1504.5</v>
      </c>
      <c r="K187" s="6" t="s">
        <v>24</v>
      </c>
      <c r="L187" s="7"/>
      <c r="M187" s="7"/>
      <c r="N187" s="7"/>
      <c r="O187" s="13">
        <v>45988.0</v>
      </c>
      <c r="P187" s="12">
        <f>if(A187='QB Import materials'!A186,0,1)</f>
        <v>0</v>
      </c>
    </row>
    <row r="188" ht="22.5" customHeight="1">
      <c r="A188" s="6" t="s">
        <v>413</v>
      </c>
      <c r="B188" s="6" t="s">
        <v>414</v>
      </c>
      <c r="C188" s="6" t="s">
        <v>27</v>
      </c>
      <c r="D188" s="7"/>
      <c r="E188" s="6" t="s">
        <v>413</v>
      </c>
      <c r="F188" s="7"/>
      <c r="G188" s="6" t="s">
        <v>19</v>
      </c>
      <c r="H188" s="8">
        <v>0.0</v>
      </c>
      <c r="I188" s="9">
        <v>840.0</v>
      </c>
      <c r="J188" s="10">
        <v>1911.6</v>
      </c>
      <c r="K188" s="6" t="s">
        <v>24</v>
      </c>
      <c r="L188" s="7"/>
      <c r="M188" s="7"/>
      <c r="N188" s="7"/>
      <c r="O188" s="13">
        <v>45988.0</v>
      </c>
      <c r="P188" s="12">
        <f>if(A188='QB Import materials'!A187,0,1)</f>
        <v>0</v>
      </c>
    </row>
    <row r="189" ht="22.5" customHeight="1">
      <c r="A189" s="6" t="s">
        <v>415</v>
      </c>
      <c r="B189" s="6" t="s">
        <v>416</v>
      </c>
      <c r="C189" s="6" t="s">
        <v>27</v>
      </c>
      <c r="D189" s="7"/>
      <c r="E189" s="6" t="s">
        <v>415</v>
      </c>
      <c r="F189" s="7"/>
      <c r="G189" s="6" t="s">
        <v>19</v>
      </c>
      <c r="H189" s="8">
        <v>0.0</v>
      </c>
      <c r="I189" s="9">
        <v>960.0</v>
      </c>
      <c r="J189" s="10">
        <v>2655.0</v>
      </c>
      <c r="K189" s="6" t="s">
        <v>24</v>
      </c>
      <c r="L189" s="7"/>
      <c r="M189" s="7"/>
      <c r="N189" s="7"/>
      <c r="O189" s="13">
        <v>45988.0</v>
      </c>
      <c r="P189" s="12">
        <f>if(A189='QB Import materials'!A188,0,1)</f>
        <v>0</v>
      </c>
    </row>
    <row r="190" ht="22.5" customHeight="1">
      <c r="A190" s="6" t="s">
        <v>417</v>
      </c>
      <c r="B190" s="6" t="s">
        <v>418</v>
      </c>
      <c r="C190" s="6" t="s">
        <v>27</v>
      </c>
      <c r="D190" s="7"/>
      <c r="E190" s="6" t="s">
        <v>417</v>
      </c>
      <c r="F190" s="7"/>
      <c r="G190" s="6" t="s">
        <v>19</v>
      </c>
      <c r="H190" s="8">
        <v>0.0</v>
      </c>
      <c r="I190" s="9">
        <v>1080.0</v>
      </c>
      <c r="J190" s="10">
        <v>3310.0</v>
      </c>
      <c r="K190" s="6" t="s">
        <v>24</v>
      </c>
      <c r="L190" s="7"/>
      <c r="M190" s="7"/>
      <c r="N190" s="7"/>
      <c r="O190" s="13">
        <v>45988.0</v>
      </c>
      <c r="P190" s="12">
        <f>if(A190='QB Import materials'!A189,0,1)</f>
        <v>0</v>
      </c>
    </row>
    <row r="191" ht="22.5" customHeight="1">
      <c r="A191" s="6" t="s">
        <v>419</v>
      </c>
      <c r="B191" s="6" t="s">
        <v>420</v>
      </c>
      <c r="C191" s="6" t="s">
        <v>27</v>
      </c>
      <c r="D191" s="7"/>
      <c r="E191" s="6" t="s">
        <v>419</v>
      </c>
      <c r="F191" s="7"/>
      <c r="G191" s="6" t="s">
        <v>19</v>
      </c>
      <c r="H191" s="8">
        <v>0.0</v>
      </c>
      <c r="I191" s="9">
        <v>1200.0</v>
      </c>
      <c r="J191" s="10">
        <v>4186.0</v>
      </c>
      <c r="K191" s="6" t="s">
        <v>24</v>
      </c>
      <c r="L191" s="7"/>
      <c r="M191" s="7"/>
      <c r="N191" s="7"/>
      <c r="O191" s="13">
        <v>45988.0</v>
      </c>
      <c r="P191" s="12">
        <f>if(A191='QB Import materials'!A190,0,1)</f>
        <v>0</v>
      </c>
    </row>
    <row r="192" ht="22.5" customHeight="1">
      <c r="A192" s="6" t="s">
        <v>421</v>
      </c>
      <c r="B192" s="6" t="s">
        <v>422</v>
      </c>
      <c r="C192" s="6" t="s">
        <v>27</v>
      </c>
      <c r="D192" s="7"/>
      <c r="E192" s="6" t="s">
        <v>421</v>
      </c>
      <c r="F192" s="7"/>
      <c r="G192" s="6" t="s">
        <v>19</v>
      </c>
      <c r="H192" s="8">
        <v>0.0</v>
      </c>
      <c r="I192" s="9">
        <v>1320.0</v>
      </c>
      <c r="J192" s="10">
        <v>4974.0</v>
      </c>
      <c r="K192" s="6" t="s">
        <v>24</v>
      </c>
      <c r="L192" s="7"/>
      <c r="M192" s="7"/>
      <c r="N192" s="7"/>
      <c r="O192" s="13">
        <v>45988.0</v>
      </c>
      <c r="P192" s="12">
        <f>if(A192='QB Import materials'!A191,0,1)</f>
        <v>0</v>
      </c>
    </row>
    <row r="193" ht="22.5" customHeight="1">
      <c r="A193" s="6" t="s">
        <v>423</v>
      </c>
      <c r="B193" s="6" t="s">
        <v>424</v>
      </c>
      <c r="C193" s="6" t="s">
        <v>27</v>
      </c>
      <c r="D193" s="7"/>
      <c r="E193" s="6" t="s">
        <v>423</v>
      </c>
      <c r="F193" s="7"/>
      <c r="G193" s="6" t="s">
        <v>19</v>
      </c>
      <c r="H193" s="8">
        <v>0.0</v>
      </c>
      <c r="I193" s="9">
        <v>250.0</v>
      </c>
      <c r="J193" s="10">
        <v>442.5</v>
      </c>
      <c r="K193" s="6" t="s">
        <v>24</v>
      </c>
      <c r="L193" s="7"/>
      <c r="M193" s="7"/>
      <c r="N193" s="7"/>
      <c r="O193" s="13">
        <v>45988.0</v>
      </c>
      <c r="P193" s="12">
        <f>if(A193='QB Import materials'!A192,0,1)</f>
        <v>0</v>
      </c>
    </row>
    <row r="194" ht="22.5" customHeight="1">
      <c r="A194" s="6" t="s">
        <v>425</v>
      </c>
      <c r="B194" s="6" t="s">
        <v>426</v>
      </c>
      <c r="C194" s="6" t="s">
        <v>27</v>
      </c>
      <c r="D194" s="7"/>
      <c r="E194" s="6" t="s">
        <v>425</v>
      </c>
      <c r="F194" s="7"/>
      <c r="G194" s="6" t="s">
        <v>19</v>
      </c>
      <c r="H194" s="8">
        <v>0.0</v>
      </c>
      <c r="I194" s="9">
        <v>310.0</v>
      </c>
      <c r="J194" s="10">
        <v>549.0</v>
      </c>
      <c r="K194" s="6" t="s">
        <v>24</v>
      </c>
      <c r="L194" s="7"/>
      <c r="M194" s="7"/>
      <c r="N194" s="7"/>
      <c r="O194" s="13">
        <v>45988.0</v>
      </c>
      <c r="P194" s="12">
        <f>if(A194='QB Import materials'!A193,0,1)</f>
        <v>0</v>
      </c>
    </row>
    <row r="195" ht="22.5" customHeight="1">
      <c r="A195" s="6" t="s">
        <v>427</v>
      </c>
      <c r="B195" s="6" t="s">
        <v>428</v>
      </c>
      <c r="C195" s="6" t="s">
        <v>27</v>
      </c>
      <c r="D195" s="7"/>
      <c r="E195" s="6" t="s">
        <v>427</v>
      </c>
      <c r="F195" s="7"/>
      <c r="G195" s="6" t="s">
        <v>19</v>
      </c>
      <c r="H195" s="8">
        <v>0.0</v>
      </c>
      <c r="I195" s="9">
        <v>425.0</v>
      </c>
      <c r="J195" s="10">
        <v>752.0</v>
      </c>
      <c r="K195" s="6" t="s">
        <v>24</v>
      </c>
      <c r="L195" s="7"/>
      <c r="M195" s="7"/>
      <c r="N195" s="7"/>
      <c r="O195" s="13">
        <v>45988.0</v>
      </c>
      <c r="P195" s="12">
        <f>if(A195='QB Import materials'!A194,0,1)</f>
        <v>0</v>
      </c>
    </row>
    <row r="196" ht="22.5" customHeight="1">
      <c r="A196" s="6" t="s">
        <v>429</v>
      </c>
      <c r="B196" s="6" t="s">
        <v>430</v>
      </c>
      <c r="C196" s="6" t="s">
        <v>27</v>
      </c>
      <c r="D196" s="7"/>
      <c r="E196" s="6" t="s">
        <v>429</v>
      </c>
      <c r="F196" s="7"/>
      <c r="G196" s="6" t="s">
        <v>134</v>
      </c>
      <c r="H196" s="8">
        <v>0.0</v>
      </c>
      <c r="I196" s="9">
        <v>129.0</v>
      </c>
      <c r="J196" s="10">
        <v>215.63</v>
      </c>
      <c r="K196" s="14"/>
      <c r="L196" s="7"/>
      <c r="M196" s="7"/>
      <c r="N196" s="7"/>
      <c r="O196" s="13">
        <v>45989.0</v>
      </c>
      <c r="P196" s="12">
        <f>if(A196='QB Import materials'!A195,0,1)</f>
        <v>0</v>
      </c>
    </row>
    <row r="197" ht="22.5" customHeight="1">
      <c r="A197" s="6" t="s">
        <v>431</v>
      </c>
      <c r="B197" s="6" t="s">
        <v>432</v>
      </c>
      <c r="C197" s="6" t="s">
        <v>27</v>
      </c>
      <c r="D197" s="7"/>
      <c r="E197" s="6" t="s">
        <v>431</v>
      </c>
      <c r="F197" s="7"/>
      <c r="G197" s="6" t="s">
        <v>19</v>
      </c>
      <c r="H197" s="8">
        <v>0.0</v>
      </c>
      <c r="I197" s="9">
        <v>1.1</v>
      </c>
      <c r="J197" s="10">
        <v>1.1</v>
      </c>
      <c r="K197" s="6" t="s">
        <v>24</v>
      </c>
      <c r="L197" s="7"/>
      <c r="M197" s="7"/>
      <c r="N197" s="7"/>
      <c r="O197" s="13">
        <v>45989.0</v>
      </c>
      <c r="P197" s="12">
        <f>if(A197='QB Import materials'!A196,0,1)</f>
        <v>0</v>
      </c>
    </row>
    <row r="198" ht="22.5" customHeight="1">
      <c r="A198" s="6" t="s">
        <v>433</v>
      </c>
      <c r="B198" s="6" t="s">
        <v>434</v>
      </c>
      <c r="C198" s="6" t="s">
        <v>27</v>
      </c>
      <c r="D198" s="7"/>
      <c r="E198" s="6" t="s">
        <v>433</v>
      </c>
      <c r="F198" s="7"/>
      <c r="G198" s="6" t="s">
        <v>23</v>
      </c>
      <c r="H198" s="8">
        <v>0.0</v>
      </c>
      <c r="I198" s="9">
        <v>0.51</v>
      </c>
      <c r="J198" s="10">
        <v>0.51</v>
      </c>
      <c r="K198" s="6" t="s">
        <v>24</v>
      </c>
      <c r="L198" s="7"/>
      <c r="M198" s="7"/>
      <c r="N198" s="7"/>
      <c r="O198" s="13">
        <v>45989.0</v>
      </c>
      <c r="P198" s="12">
        <f>if(A198='QB Import materials'!A197,0,1)</f>
        <v>0</v>
      </c>
    </row>
    <row r="199" ht="22.5" customHeight="1">
      <c r="A199" s="6" t="s">
        <v>435</v>
      </c>
      <c r="B199" s="6" t="s">
        <v>436</v>
      </c>
      <c r="C199" s="6" t="s">
        <v>27</v>
      </c>
      <c r="D199" s="7"/>
      <c r="E199" s="6" t="s">
        <v>435</v>
      </c>
      <c r="F199" s="7"/>
      <c r="G199" s="6" t="s">
        <v>19</v>
      </c>
      <c r="H199" s="8">
        <v>0.0</v>
      </c>
      <c r="I199" s="9">
        <v>10.18</v>
      </c>
      <c r="J199" s="10">
        <v>12.0</v>
      </c>
      <c r="K199" s="14"/>
      <c r="L199" s="7"/>
      <c r="M199" s="7"/>
      <c r="N199" s="7"/>
      <c r="O199" s="13">
        <v>45989.0</v>
      </c>
      <c r="P199" s="12">
        <f>if(A199='QB Import materials'!A198,0,1)</f>
        <v>0</v>
      </c>
    </row>
    <row r="200" ht="22.5" customHeight="1">
      <c r="A200" s="6" t="s">
        <v>437</v>
      </c>
      <c r="B200" s="6" t="s">
        <v>438</v>
      </c>
      <c r="C200" s="6" t="s">
        <v>27</v>
      </c>
      <c r="D200" s="7"/>
      <c r="E200" s="6" t="s">
        <v>437</v>
      </c>
      <c r="F200" s="7"/>
      <c r="G200" s="6" t="s">
        <v>134</v>
      </c>
      <c r="H200" s="8">
        <v>0.0</v>
      </c>
      <c r="I200" s="9">
        <v>28.0</v>
      </c>
      <c r="J200" s="10">
        <v>46.8</v>
      </c>
      <c r="K200" s="14"/>
      <c r="L200" s="7"/>
      <c r="M200" s="7"/>
      <c r="N200" s="7"/>
      <c r="O200" s="13">
        <v>45989.0</v>
      </c>
      <c r="P200" s="12">
        <f>if(A200='QB Import materials'!A199,0,1)</f>
        <v>0</v>
      </c>
    </row>
    <row r="201" ht="22.5" customHeight="1">
      <c r="A201" s="6" t="s">
        <v>439</v>
      </c>
      <c r="B201" s="6" t="s">
        <v>440</v>
      </c>
      <c r="C201" s="6" t="s">
        <v>27</v>
      </c>
      <c r="D201" s="7"/>
      <c r="E201" s="6" t="s">
        <v>439</v>
      </c>
      <c r="F201" s="7"/>
      <c r="G201" s="6" t="s">
        <v>121</v>
      </c>
      <c r="H201" s="8">
        <v>0.0</v>
      </c>
      <c r="I201" s="9">
        <v>650.0</v>
      </c>
      <c r="J201" s="10">
        <v>750.0</v>
      </c>
      <c r="K201" s="14"/>
      <c r="L201" s="7"/>
      <c r="M201" s="7"/>
      <c r="N201" s="7"/>
      <c r="O201" s="13">
        <v>45988.0</v>
      </c>
      <c r="P201" s="12">
        <f>if(A201='QB Import materials'!A200,0,1)</f>
        <v>0</v>
      </c>
    </row>
    <row r="202" ht="22.5" customHeight="1">
      <c r="A202" s="6" t="s">
        <v>441</v>
      </c>
      <c r="B202" s="6" t="s">
        <v>442</v>
      </c>
      <c r="C202" s="6" t="s">
        <v>27</v>
      </c>
      <c r="D202" s="7"/>
      <c r="E202" s="6" t="s">
        <v>441</v>
      </c>
      <c r="F202" s="7"/>
      <c r="G202" s="6" t="s">
        <v>23</v>
      </c>
      <c r="H202" s="8">
        <v>0.0</v>
      </c>
      <c r="I202" s="9">
        <v>0.1</v>
      </c>
      <c r="J202" s="10">
        <v>0.1</v>
      </c>
      <c r="K202" s="6" t="s">
        <v>24</v>
      </c>
      <c r="L202" s="7"/>
      <c r="M202" s="7"/>
      <c r="N202" s="7"/>
      <c r="O202" s="13">
        <v>45988.0</v>
      </c>
      <c r="P202" s="12">
        <f>if(A202='QB Import materials'!A201,0,1)</f>
        <v>0</v>
      </c>
    </row>
    <row r="203" ht="22.5" customHeight="1">
      <c r="A203" s="6" t="s">
        <v>443</v>
      </c>
      <c r="B203" s="6" t="s">
        <v>444</v>
      </c>
      <c r="C203" s="6"/>
      <c r="D203" s="7"/>
      <c r="E203" s="6" t="s">
        <v>445</v>
      </c>
      <c r="F203" s="7"/>
      <c r="G203" s="6" t="s">
        <v>19</v>
      </c>
      <c r="H203" s="8">
        <v>0.0</v>
      </c>
      <c r="I203" s="9">
        <v>3.63</v>
      </c>
      <c r="J203" s="10">
        <v>9.63</v>
      </c>
      <c r="K203" s="6" t="s">
        <v>24</v>
      </c>
      <c r="L203" s="7"/>
      <c r="M203" s="7"/>
      <c r="N203" s="7"/>
      <c r="O203" s="13"/>
      <c r="P203" s="12">
        <f>if(A203='QB Import materials'!A202,0,1)</f>
        <v>0</v>
      </c>
    </row>
    <row r="204" ht="22.5" customHeight="1">
      <c r="A204" s="6" t="s">
        <v>446</v>
      </c>
      <c r="B204" s="6" t="s">
        <v>447</v>
      </c>
      <c r="C204" s="6" t="s">
        <v>27</v>
      </c>
      <c r="D204" s="7"/>
      <c r="E204" s="6" t="s">
        <v>448</v>
      </c>
      <c r="F204" s="7"/>
      <c r="G204" s="6" t="s">
        <v>19</v>
      </c>
      <c r="H204" s="8">
        <v>0.0</v>
      </c>
      <c r="I204" s="9">
        <v>23.96</v>
      </c>
      <c r="J204" s="10">
        <v>47.92</v>
      </c>
      <c r="K204" s="6" t="s">
        <v>24</v>
      </c>
      <c r="L204" s="7"/>
      <c r="M204" s="7"/>
      <c r="N204" s="7"/>
      <c r="O204" s="13">
        <v>45988.0</v>
      </c>
      <c r="P204" s="12">
        <f>if(A204='QB Import materials'!A203,0,1)</f>
        <v>0</v>
      </c>
    </row>
    <row r="205" ht="22.5" customHeight="1">
      <c r="A205" s="6" t="s">
        <v>449</v>
      </c>
      <c r="B205" s="6" t="s">
        <v>450</v>
      </c>
      <c r="C205" s="6" t="s">
        <v>27</v>
      </c>
      <c r="D205" s="7"/>
      <c r="E205" s="6" t="s">
        <v>449</v>
      </c>
      <c r="F205" s="7"/>
      <c r="G205" s="6" t="s">
        <v>19</v>
      </c>
      <c r="H205" s="8">
        <v>0.0</v>
      </c>
      <c r="I205" s="9">
        <v>63.38</v>
      </c>
      <c r="J205" s="10">
        <v>149.6</v>
      </c>
      <c r="K205" s="6" t="s">
        <v>24</v>
      </c>
      <c r="L205" s="7"/>
      <c r="M205" s="7"/>
      <c r="N205" s="7"/>
      <c r="O205" s="13">
        <v>45988.0</v>
      </c>
      <c r="P205" s="12">
        <f>if(A205='QB Import materials'!A204,0,1)</f>
        <v>0</v>
      </c>
    </row>
    <row r="206" ht="22.5" customHeight="1">
      <c r="A206" s="6" t="s">
        <v>451</v>
      </c>
      <c r="B206" s="6" t="s">
        <v>452</v>
      </c>
      <c r="C206" s="6"/>
      <c r="D206" s="7"/>
      <c r="E206" s="6" t="s">
        <v>453</v>
      </c>
      <c r="F206" s="7"/>
      <c r="G206" s="6" t="s">
        <v>19</v>
      </c>
      <c r="H206" s="8">
        <v>0.0</v>
      </c>
      <c r="I206" s="9">
        <v>38.29</v>
      </c>
      <c r="J206" s="10">
        <v>109.41</v>
      </c>
      <c r="K206" s="6"/>
      <c r="L206" s="7"/>
      <c r="M206" s="7"/>
      <c r="N206" s="7"/>
      <c r="O206" s="13"/>
      <c r="P206" s="12">
        <f>if(A206='QB Import materials'!A205,0,1)</f>
        <v>0</v>
      </c>
    </row>
    <row r="207" ht="22.5" customHeight="1">
      <c r="A207" s="6" t="s">
        <v>454</v>
      </c>
      <c r="B207" s="6" t="s">
        <v>455</v>
      </c>
      <c r="C207" s="6"/>
      <c r="D207" s="7"/>
      <c r="E207" s="6" t="s">
        <v>454</v>
      </c>
      <c r="F207" s="7"/>
      <c r="G207" s="6" t="s">
        <v>19</v>
      </c>
      <c r="H207" s="8"/>
      <c r="I207" s="9">
        <v>0.06</v>
      </c>
      <c r="J207" s="10">
        <v>0.25</v>
      </c>
      <c r="K207" s="14"/>
      <c r="L207" s="7"/>
      <c r="M207" s="7"/>
      <c r="N207" s="7"/>
      <c r="O207" s="13"/>
      <c r="P207" s="12">
        <f>if(A207='QB Import materials'!A206,0,1)</f>
        <v>0</v>
      </c>
    </row>
    <row r="208" ht="22.5" customHeight="1">
      <c r="A208" s="6" t="s">
        <v>456</v>
      </c>
      <c r="B208" s="6" t="s">
        <v>457</v>
      </c>
      <c r="C208" s="6" t="s">
        <v>27</v>
      </c>
      <c r="D208" s="7"/>
      <c r="E208" s="6" t="s">
        <v>456</v>
      </c>
      <c r="F208" s="7"/>
      <c r="G208" s="6" t="s">
        <v>116</v>
      </c>
      <c r="H208" s="8">
        <v>0.0</v>
      </c>
      <c r="I208" s="9">
        <v>0.17</v>
      </c>
      <c r="J208" s="10">
        <v>0.37</v>
      </c>
      <c r="K208" s="6" t="s">
        <v>24</v>
      </c>
      <c r="L208" s="7"/>
      <c r="M208" s="7"/>
      <c r="N208" s="7"/>
      <c r="O208" s="13">
        <v>45988.0</v>
      </c>
      <c r="P208" s="12">
        <f>if(A208='QB Import materials'!A207,0,1)</f>
        <v>0</v>
      </c>
    </row>
    <row r="209" ht="22.5" customHeight="1">
      <c r="A209" s="6" t="s">
        <v>458</v>
      </c>
      <c r="B209" s="6" t="s">
        <v>459</v>
      </c>
      <c r="C209" s="6" t="s">
        <v>27</v>
      </c>
      <c r="D209" s="7"/>
      <c r="E209" s="6" t="s">
        <v>458</v>
      </c>
      <c r="F209" s="7"/>
      <c r="G209" s="6" t="s">
        <v>375</v>
      </c>
      <c r="H209" s="8">
        <v>0.0</v>
      </c>
      <c r="I209" s="9">
        <v>100.0</v>
      </c>
      <c r="J209" s="10">
        <v>167.15</v>
      </c>
      <c r="K209" s="14"/>
      <c r="L209" s="7"/>
      <c r="M209" s="7"/>
      <c r="N209" s="7"/>
      <c r="O209" s="13">
        <v>45988.0</v>
      </c>
      <c r="P209" s="12">
        <f>if(A209='QB Import materials'!A208,0,1)</f>
        <v>0</v>
      </c>
    </row>
    <row r="210" ht="22.5" customHeight="1">
      <c r="A210" s="6" t="s">
        <v>460</v>
      </c>
      <c r="B210" s="6" t="s">
        <v>461</v>
      </c>
      <c r="C210" s="6" t="s">
        <v>27</v>
      </c>
      <c r="D210" s="7"/>
      <c r="E210" s="6" t="s">
        <v>460</v>
      </c>
      <c r="F210" s="7"/>
      <c r="G210" s="6" t="s">
        <v>19</v>
      </c>
      <c r="H210" s="8">
        <v>0.0</v>
      </c>
      <c r="I210" s="9">
        <v>4.34</v>
      </c>
      <c r="J210" s="10">
        <v>7.25</v>
      </c>
      <c r="K210" s="14"/>
      <c r="L210" s="7"/>
      <c r="M210" s="7"/>
      <c r="N210" s="7"/>
      <c r="O210" s="13">
        <v>45988.0</v>
      </c>
      <c r="P210" s="12">
        <f>if(A210='QB Import materials'!A209,0,1)</f>
        <v>0</v>
      </c>
    </row>
    <row r="211" ht="22.5" customHeight="1">
      <c r="A211" s="6" t="s">
        <v>462</v>
      </c>
      <c r="B211" s="6" t="s">
        <v>463</v>
      </c>
      <c r="C211" s="6" t="s">
        <v>27</v>
      </c>
      <c r="D211" s="7"/>
      <c r="E211" s="6" t="s">
        <v>462</v>
      </c>
      <c r="F211" s="7"/>
      <c r="G211" s="6" t="s">
        <v>19</v>
      </c>
      <c r="H211" s="8">
        <v>0.0</v>
      </c>
      <c r="I211" s="9">
        <v>1.3</v>
      </c>
      <c r="J211" s="10">
        <v>2.61</v>
      </c>
      <c r="K211" s="6" t="s">
        <v>24</v>
      </c>
      <c r="L211" s="7"/>
      <c r="M211" s="7"/>
      <c r="N211" s="7"/>
      <c r="O211" s="13">
        <v>45988.0</v>
      </c>
      <c r="P211" s="12">
        <f>if(A211='QB Import materials'!A210,0,1)</f>
        <v>0</v>
      </c>
    </row>
    <row r="212" ht="22.5" customHeight="1">
      <c r="A212" s="6" t="s">
        <v>464</v>
      </c>
      <c r="B212" s="6" t="s">
        <v>465</v>
      </c>
      <c r="C212" s="6" t="s">
        <v>27</v>
      </c>
      <c r="D212" s="7"/>
      <c r="E212" s="6" t="s">
        <v>464</v>
      </c>
      <c r="F212" s="7"/>
      <c r="G212" s="6" t="s">
        <v>23</v>
      </c>
      <c r="H212" s="8">
        <v>0.0</v>
      </c>
      <c r="I212" s="9">
        <v>0.57</v>
      </c>
      <c r="J212" s="10">
        <v>1.2</v>
      </c>
      <c r="K212" s="6" t="s">
        <v>24</v>
      </c>
      <c r="L212" s="7"/>
      <c r="M212" s="7"/>
      <c r="N212" s="7"/>
      <c r="O212" s="13">
        <v>45988.0</v>
      </c>
      <c r="P212" s="12">
        <f>if(A212='QB Import materials'!A211,0,1)</f>
        <v>0</v>
      </c>
    </row>
    <row r="213" ht="22.5" customHeight="1">
      <c r="A213" s="6" t="s">
        <v>466</v>
      </c>
      <c r="B213" s="6" t="s">
        <v>467</v>
      </c>
      <c r="C213" s="6" t="s">
        <v>27</v>
      </c>
      <c r="D213" s="7"/>
      <c r="E213" s="6" t="s">
        <v>468</v>
      </c>
      <c r="F213" s="7"/>
      <c r="G213" s="6" t="s">
        <v>23</v>
      </c>
      <c r="H213" s="8">
        <v>0.0</v>
      </c>
      <c r="I213" s="9">
        <v>0.67</v>
      </c>
      <c r="J213" s="10">
        <v>1.56</v>
      </c>
      <c r="K213" s="6" t="s">
        <v>24</v>
      </c>
      <c r="L213" s="7"/>
      <c r="M213" s="7"/>
      <c r="N213" s="7"/>
      <c r="O213" s="13">
        <v>45988.0</v>
      </c>
      <c r="P213" s="12">
        <f>if(A213='QB Import materials'!A212,0,1)</f>
        <v>0</v>
      </c>
    </row>
    <row r="214" ht="22.5" customHeight="1">
      <c r="A214" s="6" t="s">
        <v>469</v>
      </c>
      <c r="B214" s="6" t="s">
        <v>470</v>
      </c>
      <c r="C214" s="6"/>
      <c r="D214" s="7"/>
      <c r="E214" s="6" t="s">
        <v>471</v>
      </c>
      <c r="F214" s="7"/>
      <c r="G214" s="6" t="s">
        <v>23</v>
      </c>
      <c r="H214" s="8">
        <v>0.0</v>
      </c>
      <c r="I214" s="9">
        <v>0.75</v>
      </c>
      <c r="J214" s="10">
        <v>1.84</v>
      </c>
      <c r="K214" s="6" t="s">
        <v>24</v>
      </c>
      <c r="L214" s="7"/>
      <c r="M214" s="7"/>
      <c r="N214" s="7"/>
      <c r="O214" s="13"/>
      <c r="P214" s="12">
        <f>if(A214='QB Import materials'!A213,0,1)</f>
        <v>0</v>
      </c>
    </row>
    <row r="215" ht="22.5" customHeight="1">
      <c r="A215" s="6" t="s">
        <v>472</v>
      </c>
      <c r="B215" s="6" t="s">
        <v>473</v>
      </c>
      <c r="C215" s="6"/>
      <c r="D215" s="7"/>
      <c r="E215" s="6" t="s">
        <v>474</v>
      </c>
      <c r="F215" s="7"/>
      <c r="G215" s="6" t="s">
        <v>23</v>
      </c>
      <c r="H215" s="8">
        <v>0.0</v>
      </c>
      <c r="I215" s="9">
        <v>0.41</v>
      </c>
      <c r="J215" s="10">
        <v>1.0</v>
      </c>
      <c r="K215" s="6" t="s">
        <v>24</v>
      </c>
      <c r="L215" s="7"/>
      <c r="M215" s="7"/>
      <c r="N215" s="7"/>
      <c r="O215" s="13"/>
      <c r="P215" s="12">
        <f>if(A215='QB Import materials'!A214,0,1)</f>
        <v>0</v>
      </c>
    </row>
    <row r="216" ht="22.5" customHeight="1">
      <c r="A216" s="6" t="s">
        <v>475</v>
      </c>
      <c r="B216" s="6" t="s">
        <v>476</v>
      </c>
      <c r="C216" s="6" t="s">
        <v>27</v>
      </c>
      <c r="D216" s="7"/>
      <c r="E216" s="6" t="s">
        <v>475</v>
      </c>
      <c r="F216" s="7"/>
      <c r="G216" s="6" t="s">
        <v>23</v>
      </c>
      <c r="H216" s="8">
        <v>0.0</v>
      </c>
      <c r="I216" s="9">
        <v>0.75</v>
      </c>
      <c r="J216" s="10">
        <v>1.84</v>
      </c>
      <c r="K216" s="6" t="s">
        <v>24</v>
      </c>
      <c r="L216" s="7"/>
      <c r="M216" s="7"/>
      <c r="N216" s="7"/>
      <c r="O216" s="13">
        <v>45988.0</v>
      </c>
      <c r="P216" s="12">
        <f>if(A216='QB Import materials'!A215,0,1)</f>
        <v>0</v>
      </c>
    </row>
    <row r="217" ht="22.5" customHeight="1">
      <c r="A217" s="6" t="s">
        <v>477</v>
      </c>
      <c r="B217" s="6" t="s">
        <v>478</v>
      </c>
      <c r="C217" s="6" t="s">
        <v>27</v>
      </c>
      <c r="D217" s="7"/>
      <c r="E217" s="6" t="s">
        <v>477</v>
      </c>
      <c r="F217" s="7"/>
      <c r="G217" s="6" t="s">
        <v>19</v>
      </c>
      <c r="H217" s="8">
        <v>0.0</v>
      </c>
      <c r="I217" s="9">
        <v>3.35</v>
      </c>
      <c r="J217" s="10">
        <v>5.63</v>
      </c>
      <c r="K217" s="6" t="s">
        <v>24</v>
      </c>
      <c r="L217" s="7"/>
      <c r="M217" s="7"/>
      <c r="N217" s="7"/>
      <c r="O217" s="13">
        <v>45989.0</v>
      </c>
      <c r="P217" s="12">
        <f>if(A217='QB Import materials'!A216,0,1)</f>
        <v>0</v>
      </c>
    </row>
    <row r="218" ht="22.5" customHeight="1">
      <c r="A218" s="6" t="s">
        <v>479</v>
      </c>
      <c r="B218" s="6" t="s">
        <v>480</v>
      </c>
      <c r="C218" s="6" t="s">
        <v>27</v>
      </c>
      <c r="D218" s="7"/>
      <c r="E218" s="6" t="s">
        <v>479</v>
      </c>
      <c r="F218" s="7"/>
      <c r="G218" s="6" t="s">
        <v>19</v>
      </c>
      <c r="H218" s="8">
        <v>0.0</v>
      </c>
      <c r="I218" s="9"/>
      <c r="J218" s="10">
        <f>'Irrigation Bundles 2026'!E2</f>
        <v>11.24</v>
      </c>
      <c r="K218" s="6" t="s">
        <v>24</v>
      </c>
      <c r="L218" s="7"/>
      <c r="M218" s="7"/>
      <c r="N218" s="7"/>
      <c r="O218" s="13">
        <v>46131.0</v>
      </c>
      <c r="P218" s="12">
        <f>if(A218='QB Import materials'!A217,0,1)</f>
        <v>0</v>
      </c>
    </row>
    <row r="219" ht="22.5" customHeight="1">
      <c r="A219" s="6" t="s">
        <v>481</v>
      </c>
      <c r="B219" s="6" t="s">
        <v>482</v>
      </c>
      <c r="C219" s="6" t="s">
        <v>27</v>
      </c>
      <c r="D219" s="7"/>
      <c r="E219" s="6" t="s">
        <v>481</v>
      </c>
      <c r="F219" s="7"/>
      <c r="G219" s="6" t="s">
        <v>19</v>
      </c>
      <c r="H219" s="8">
        <v>0.0</v>
      </c>
      <c r="I219" s="9"/>
      <c r="J219" s="10">
        <f>'Irrigation Bundles 2026'!E6</f>
        <v>6.92</v>
      </c>
      <c r="K219" s="6" t="s">
        <v>24</v>
      </c>
      <c r="L219" s="7"/>
      <c r="M219" s="7"/>
      <c r="N219" s="7"/>
      <c r="O219" s="13">
        <v>46131.0</v>
      </c>
      <c r="P219" s="12">
        <f>if(A219='QB Import materials'!A218,0,1)</f>
        <v>0</v>
      </c>
    </row>
    <row r="220" ht="22.5" customHeight="1">
      <c r="A220" s="6" t="s">
        <v>483</v>
      </c>
      <c r="B220" s="6" t="s">
        <v>484</v>
      </c>
      <c r="C220" s="6" t="s">
        <v>27</v>
      </c>
      <c r="D220" s="7"/>
      <c r="E220" s="6" t="s">
        <v>483</v>
      </c>
      <c r="F220" s="7"/>
      <c r="G220" s="6" t="s">
        <v>19</v>
      </c>
      <c r="H220" s="8">
        <v>0.0</v>
      </c>
      <c r="I220" s="9"/>
      <c r="J220" s="10">
        <f>'Irrigation Bundles 2026'!E10</f>
        <v>32.68</v>
      </c>
      <c r="K220" s="6" t="s">
        <v>24</v>
      </c>
      <c r="L220" s="7"/>
      <c r="M220" s="7"/>
      <c r="N220" s="7"/>
      <c r="O220" s="13">
        <v>46131.0</v>
      </c>
      <c r="P220" s="12">
        <f>if(A220='QB Import materials'!A219,0,1)</f>
        <v>0</v>
      </c>
    </row>
    <row r="221" ht="22.5" customHeight="1">
      <c r="A221" s="6" t="s">
        <v>485</v>
      </c>
      <c r="B221" s="6" t="s">
        <v>486</v>
      </c>
      <c r="C221" s="6" t="s">
        <v>27</v>
      </c>
      <c r="D221" s="7"/>
      <c r="E221" s="6" t="s">
        <v>485</v>
      </c>
      <c r="F221" s="7"/>
      <c r="G221" s="6" t="s">
        <v>19</v>
      </c>
      <c r="H221" s="8">
        <v>0.0</v>
      </c>
      <c r="I221" s="9"/>
      <c r="J221" s="10">
        <f>'Irrigation Bundles 2026'!E14</f>
        <v>48.17</v>
      </c>
      <c r="K221" s="6" t="s">
        <v>24</v>
      </c>
      <c r="L221" s="7"/>
      <c r="M221" s="7"/>
      <c r="N221" s="7"/>
      <c r="O221" s="13">
        <v>46131.0</v>
      </c>
      <c r="P221" s="12">
        <f>if(A221='QB Import materials'!A220,0,1)</f>
        <v>0</v>
      </c>
    </row>
    <row r="222" ht="22.5" customHeight="1">
      <c r="A222" s="6" t="s">
        <v>487</v>
      </c>
      <c r="B222" s="6" t="s">
        <v>488</v>
      </c>
      <c r="C222" s="6" t="s">
        <v>27</v>
      </c>
      <c r="D222" s="7"/>
      <c r="E222" s="6" t="s">
        <v>487</v>
      </c>
      <c r="F222" s="7"/>
      <c r="G222" s="6" t="s">
        <v>19</v>
      </c>
      <c r="H222" s="8">
        <v>0.0</v>
      </c>
      <c r="I222" s="9"/>
      <c r="J222" s="10">
        <f>'Irrigation Bundles 2026'!E18</f>
        <v>64.95</v>
      </c>
      <c r="K222" s="6" t="s">
        <v>24</v>
      </c>
      <c r="L222" s="7"/>
      <c r="M222" s="7"/>
      <c r="N222" s="7"/>
      <c r="O222" s="13">
        <v>46131.0</v>
      </c>
      <c r="P222" s="12">
        <f>if(A222='QB Import materials'!A221,0,1)</f>
        <v>0</v>
      </c>
    </row>
    <row r="223" ht="22.5" customHeight="1">
      <c r="A223" s="6" t="s">
        <v>489</v>
      </c>
      <c r="B223" s="6" t="s">
        <v>490</v>
      </c>
      <c r="C223" s="6" t="s">
        <v>27</v>
      </c>
      <c r="D223" s="7"/>
      <c r="E223" s="6" t="s">
        <v>489</v>
      </c>
      <c r="F223" s="7"/>
      <c r="G223" s="6" t="s">
        <v>19</v>
      </c>
      <c r="H223" s="8">
        <v>0.0</v>
      </c>
      <c r="I223" s="9"/>
      <c r="J223" s="10">
        <f>'Irrigation Bundles 2026'!E22</f>
        <v>81.17</v>
      </c>
      <c r="K223" s="6" t="s">
        <v>24</v>
      </c>
      <c r="L223" s="7"/>
      <c r="M223" s="7"/>
      <c r="N223" s="7"/>
      <c r="O223" s="13">
        <v>46131.0</v>
      </c>
      <c r="P223" s="12">
        <f>if(A223='QB Import materials'!A222,0,1)</f>
        <v>0</v>
      </c>
    </row>
    <row r="224" ht="22.5" customHeight="1">
      <c r="A224" s="6"/>
      <c r="B224" s="6"/>
      <c r="C224" s="6"/>
      <c r="D224" s="7"/>
      <c r="E224" s="6"/>
      <c r="F224" s="7"/>
      <c r="G224" s="6"/>
      <c r="H224" s="8"/>
      <c r="I224" s="9"/>
      <c r="J224" s="10"/>
      <c r="K224" s="6"/>
      <c r="L224" s="15"/>
      <c r="M224" s="7"/>
      <c r="N224" s="7"/>
      <c r="O224" s="11"/>
      <c r="P224" s="12"/>
    </row>
    <row r="225" ht="22.5" customHeight="1">
      <c r="A225" s="6"/>
      <c r="B225" s="6"/>
      <c r="C225" s="6"/>
      <c r="D225" s="7"/>
      <c r="E225" s="6"/>
      <c r="F225" s="7"/>
      <c r="G225" s="6"/>
      <c r="H225" s="8"/>
      <c r="I225" s="9"/>
      <c r="J225" s="10"/>
      <c r="K225" s="6"/>
      <c r="L225" s="15"/>
      <c r="M225" s="7"/>
      <c r="N225" s="7"/>
      <c r="O225" s="11"/>
      <c r="P225" s="12"/>
    </row>
    <row r="226" ht="22.5" customHeight="1">
      <c r="B226" s="6"/>
      <c r="C226" s="6"/>
      <c r="D226" s="7"/>
      <c r="F226" s="7"/>
      <c r="G226" s="6"/>
      <c r="H226" s="8"/>
      <c r="I226" s="9"/>
      <c r="J226" s="10"/>
      <c r="K226" s="6"/>
      <c r="L226" s="7"/>
      <c r="M226" s="7"/>
      <c r="N226" s="7"/>
      <c r="O226" s="11"/>
      <c r="P226" s="12"/>
    </row>
    <row r="227" ht="22.5" customHeight="1">
      <c r="A227" s="6"/>
      <c r="B227" s="6"/>
      <c r="C227" s="6"/>
      <c r="D227" s="7"/>
      <c r="E227" s="6"/>
      <c r="F227" s="7"/>
      <c r="G227" s="6"/>
      <c r="H227" s="8"/>
      <c r="I227" s="9"/>
      <c r="J227" s="10"/>
      <c r="K227" s="6"/>
      <c r="L227" s="7"/>
      <c r="M227" s="7"/>
      <c r="N227" s="7"/>
      <c r="O227" s="11"/>
      <c r="P227" s="12"/>
    </row>
    <row r="228" ht="22.5" customHeight="1">
      <c r="A228" s="6"/>
      <c r="B228" s="6"/>
      <c r="C228" s="6"/>
      <c r="D228" s="7"/>
      <c r="E228" s="6"/>
      <c r="F228" s="7"/>
      <c r="G228" s="6"/>
      <c r="H228" s="8"/>
      <c r="I228" s="9"/>
      <c r="J228" s="10"/>
      <c r="K228" s="6"/>
      <c r="L228" s="7"/>
      <c r="M228" s="7"/>
      <c r="N228" s="7"/>
      <c r="O228" s="13"/>
      <c r="P228" s="12">
        <f>if(A228='QB Import materials'!A223,0,1)</f>
        <v>0</v>
      </c>
    </row>
    <row r="229" ht="22.5" customHeight="1">
      <c r="A229" s="6"/>
      <c r="B229" s="6"/>
      <c r="C229" s="6"/>
      <c r="D229" s="7"/>
      <c r="E229" s="6"/>
      <c r="F229" s="7"/>
      <c r="G229" s="6"/>
      <c r="H229" s="8"/>
      <c r="I229" s="9"/>
      <c r="J229" s="10"/>
      <c r="K229" s="6"/>
      <c r="L229" s="7"/>
      <c r="M229" s="7"/>
      <c r="N229" s="7"/>
      <c r="O229" s="13"/>
      <c r="P229" s="12">
        <f>if(A229='QB Import materials'!A224,0,1)</f>
        <v>0</v>
      </c>
    </row>
    <row r="230" ht="22.5" customHeight="1">
      <c r="A230" s="6"/>
      <c r="B230" s="6"/>
      <c r="C230" s="6"/>
      <c r="D230" s="7"/>
      <c r="E230" s="6"/>
      <c r="F230" s="7"/>
      <c r="G230" s="6"/>
      <c r="H230" s="8"/>
      <c r="I230" s="9"/>
      <c r="J230" s="10"/>
      <c r="K230" s="6"/>
      <c r="L230" s="7"/>
      <c r="M230" s="7"/>
      <c r="N230" s="7"/>
      <c r="O230" s="13"/>
      <c r="P230" s="12">
        <f>if(A230='QB Import materials'!A225,0,1)</f>
        <v>0</v>
      </c>
    </row>
    <row r="231" ht="22.5" customHeight="1">
      <c r="A231" s="6"/>
      <c r="B231" s="6"/>
      <c r="C231" s="6"/>
      <c r="D231" s="7"/>
      <c r="E231" s="6"/>
      <c r="F231" s="7"/>
      <c r="G231" s="6"/>
      <c r="H231" s="8"/>
      <c r="I231" s="9"/>
      <c r="J231" s="10"/>
      <c r="K231" s="6"/>
      <c r="L231" s="7"/>
      <c r="M231" s="7"/>
      <c r="N231" s="7"/>
      <c r="O231" s="13"/>
      <c r="P231" s="12">
        <f>if(A231='QB Import materials'!A226,0,1)</f>
        <v>0</v>
      </c>
    </row>
    <row r="232" ht="22.5" customHeight="1">
      <c r="A232" s="6"/>
      <c r="B232" s="6"/>
      <c r="C232" s="6"/>
      <c r="D232" s="7"/>
      <c r="E232" s="6"/>
      <c r="F232" s="7"/>
      <c r="G232" s="6"/>
      <c r="H232" s="8"/>
      <c r="I232" s="9"/>
      <c r="J232" s="10"/>
      <c r="K232" s="6"/>
      <c r="L232" s="7"/>
      <c r="M232" s="7"/>
      <c r="N232" s="7"/>
      <c r="O232" s="13"/>
      <c r="P232" s="12">
        <f>if(A232='QB Import materials'!A227,0,1)</f>
        <v>0</v>
      </c>
    </row>
    <row r="233" ht="22.5" customHeight="1">
      <c r="A233" s="6"/>
      <c r="B233" s="6"/>
      <c r="C233" s="6"/>
      <c r="D233" s="7"/>
      <c r="E233" s="6"/>
      <c r="F233" s="7"/>
      <c r="G233" s="6"/>
      <c r="H233" s="8"/>
      <c r="I233" s="9"/>
      <c r="J233" s="10"/>
      <c r="K233" s="6"/>
      <c r="L233" s="7"/>
      <c r="M233" s="7"/>
      <c r="N233" s="7"/>
      <c r="O233" s="13"/>
      <c r="P233" s="12">
        <f>if(A233='QB Import materials'!A228,0,1)</f>
        <v>0</v>
      </c>
    </row>
    <row r="234" ht="22.5" customHeight="1">
      <c r="A234" s="6"/>
      <c r="B234" s="6"/>
      <c r="C234" s="6"/>
      <c r="D234" s="7"/>
      <c r="E234" s="6"/>
      <c r="F234" s="7"/>
      <c r="G234" s="6"/>
      <c r="H234" s="8"/>
      <c r="I234" s="9"/>
      <c r="J234" s="10"/>
      <c r="K234" s="6"/>
      <c r="L234" s="7"/>
      <c r="M234" s="7"/>
      <c r="N234" s="7"/>
      <c r="O234" s="13"/>
      <c r="P234" s="12">
        <f>if(A234='QB Import materials'!A229,0,1)</f>
        <v>0</v>
      </c>
    </row>
    <row r="235" ht="22.5" customHeight="1">
      <c r="A235" s="6"/>
      <c r="B235" s="6"/>
      <c r="C235" s="6"/>
      <c r="D235" s="7"/>
      <c r="E235" s="6"/>
      <c r="F235" s="7"/>
      <c r="G235" s="6"/>
      <c r="H235" s="8"/>
      <c r="I235" s="9"/>
      <c r="J235" s="10"/>
      <c r="K235" s="6"/>
      <c r="L235" s="7"/>
      <c r="M235" s="7"/>
      <c r="N235" s="7"/>
      <c r="O235" s="13"/>
      <c r="P235" s="12">
        <f>if(A235='QB Import materials'!A319,0,1)</f>
        <v>0</v>
      </c>
    </row>
    <row r="236" ht="22.5" customHeight="1">
      <c r="A236" s="6"/>
      <c r="B236" s="6"/>
      <c r="C236" s="6"/>
      <c r="D236" s="7"/>
      <c r="E236" s="6"/>
      <c r="F236" s="7"/>
      <c r="G236" s="6"/>
      <c r="H236" s="8"/>
      <c r="I236" s="9"/>
      <c r="J236" s="10"/>
      <c r="K236" s="6"/>
      <c r="L236" s="7"/>
      <c r="M236" s="7"/>
      <c r="N236" s="7"/>
      <c r="O236" s="13"/>
      <c r="P236" s="12">
        <f>if(A236='QB Import materials'!A320,0,1)</f>
        <v>0</v>
      </c>
    </row>
    <row r="237" ht="22.5" customHeight="1">
      <c r="A237" s="6"/>
      <c r="B237" s="6"/>
      <c r="C237" s="6"/>
      <c r="D237" s="7"/>
      <c r="E237" s="6"/>
      <c r="F237" s="7"/>
      <c r="G237" s="6"/>
      <c r="H237" s="8"/>
      <c r="I237" s="9"/>
      <c r="J237" s="10"/>
      <c r="K237" s="6"/>
      <c r="L237" s="7"/>
      <c r="M237" s="7"/>
      <c r="N237" s="7"/>
      <c r="O237" s="13"/>
      <c r="P237" s="12">
        <f>if(A237='QB Import materials'!A321,0,1)</f>
        <v>0</v>
      </c>
    </row>
    <row r="238" ht="22.5" customHeight="1">
      <c r="A238" s="6"/>
      <c r="B238" s="6"/>
      <c r="C238" s="6"/>
      <c r="D238" s="7"/>
      <c r="E238" s="6"/>
      <c r="F238" s="7"/>
      <c r="G238" s="6"/>
      <c r="H238" s="8"/>
      <c r="I238" s="9"/>
      <c r="J238" s="10"/>
      <c r="K238" s="6"/>
      <c r="L238" s="7"/>
      <c r="M238" s="7"/>
      <c r="N238" s="7"/>
      <c r="O238" s="13"/>
      <c r="P238" s="12">
        <f>if(A238='QB Import materials'!A322,0,1)</f>
        <v>0</v>
      </c>
    </row>
    <row r="239" ht="22.5" customHeight="1">
      <c r="A239" s="6"/>
      <c r="B239" s="6"/>
      <c r="C239" s="6"/>
      <c r="D239" s="7"/>
      <c r="E239" s="6"/>
      <c r="F239" s="7"/>
      <c r="G239" s="6"/>
      <c r="H239" s="8"/>
      <c r="I239" s="9"/>
      <c r="J239" s="10"/>
      <c r="K239" s="6"/>
      <c r="L239" s="7"/>
      <c r="M239" s="7"/>
      <c r="N239" s="7"/>
      <c r="O239" s="13"/>
      <c r="P239" s="12">
        <f>if(A239='QB Import materials'!A323,0,1)</f>
        <v>0</v>
      </c>
    </row>
    <row r="240" ht="22.5" customHeight="1">
      <c r="A240" s="6"/>
      <c r="B240" s="6"/>
      <c r="C240" s="6"/>
      <c r="D240" s="7"/>
      <c r="E240" s="6"/>
      <c r="F240" s="7"/>
      <c r="G240" s="6"/>
      <c r="H240" s="8"/>
      <c r="I240" s="9"/>
      <c r="J240" s="10"/>
      <c r="K240" s="6"/>
      <c r="L240" s="7"/>
      <c r="M240" s="7"/>
      <c r="N240" s="7"/>
      <c r="O240" s="13"/>
      <c r="P240" s="12">
        <f>if(A240='QB Import materials'!A324,0,1)</f>
        <v>0</v>
      </c>
    </row>
  </sheetData>
  <conditionalFormatting sqref="L8">
    <cfRule type="containsText" dxfId="5" priority="1" operator="containsText" text="READY">
      <formula>NOT(ISERROR(SEARCH(("READY"),(L8))))</formula>
    </cfRule>
  </conditionalFormatting>
  <conditionalFormatting sqref="A1">
    <cfRule type="containsText" dxfId="5" priority="2" operator="containsText" text="READY">
      <formula>NOT(ISERROR(SEARCH(("READY"),(A1))))</formula>
    </cfRule>
  </conditionalFormatting>
  <conditionalFormatting sqref="A1">
    <cfRule type="containsText" dxfId="6" priority="3" operator="containsText" text="BROKEN">
      <formula>NOT(ISERROR(SEARCH(("BROKEN"),(A1))))</formula>
    </cfRule>
  </conditionalFormatting>
  <conditionalFormatting sqref="P3:P240">
    <cfRule type="cellIs" dxfId="7" priority="4" operator="equal">
      <formula>1</formula>
    </cfRule>
  </conditionalFormatting>
  <dataValidations>
    <dataValidation type="custom" allowBlank="1" showDropDown="1" sqref="J3:J240">
      <formula1>AND(ISNUMBER(J3),(NOT(OR(NOT(ISERROR(DATEVALUE(J3))), AND(ISNUMBER(J3), LEFT(CELL("format", J3))="D")))))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2.25"/>
    <col customWidth="1" min="3" max="3" width="2.0"/>
    <col customWidth="1" min="5" max="5" width="7.5"/>
    <col customWidth="1" min="6" max="6" width="22.88"/>
    <col customWidth="1" min="7" max="7" width="7.63"/>
    <col customWidth="1" min="8" max="8" width="8.5"/>
    <col customWidth="1" min="9" max="9" width="12.0"/>
    <col customWidth="1" min="10" max="10" width="20.63"/>
    <col customWidth="1" min="11" max="11" width="19.63"/>
    <col customWidth="1" min="12" max="12" width="23.38"/>
    <col customWidth="1" min="13" max="13" width="24.25"/>
    <col customWidth="1" min="14" max="14" width="21.25"/>
    <col customWidth="1" min="15" max="15" width="15.63"/>
  </cols>
  <sheetData>
    <row r="1" ht="22.5" customHeight="1">
      <c r="A1" s="24" t="s">
        <v>491</v>
      </c>
      <c r="B1" s="24" t="s">
        <v>492</v>
      </c>
      <c r="C1" s="24" t="s">
        <v>493</v>
      </c>
      <c r="D1" s="24" t="s">
        <v>494</v>
      </c>
      <c r="E1" s="24" t="s">
        <v>495</v>
      </c>
      <c r="F1" s="24" t="s">
        <v>496</v>
      </c>
      <c r="G1" s="24" t="s">
        <v>497</v>
      </c>
      <c r="H1" s="24" t="s">
        <v>9</v>
      </c>
      <c r="I1" s="24" t="s">
        <v>8</v>
      </c>
      <c r="J1" s="24" t="s">
        <v>498</v>
      </c>
      <c r="K1" s="24" t="s">
        <v>499</v>
      </c>
      <c r="L1" s="24" t="s">
        <v>500</v>
      </c>
      <c r="M1" s="24" t="s">
        <v>501</v>
      </c>
      <c r="N1" s="24" t="s">
        <v>502</v>
      </c>
      <c r="O1" s="24" t="s">
        <v>503</v>
      </c>
      <c r="P1" s="25" t="s">
        <v>504</v>
      </c>
    </row>
    <row r="2" ht="22.5" customHeight="1">
      <c r="A2" s="26" t="s">
        <v>16</v>
      </c>
      <c r="D2" s="26" t="s">
        <v>505</v>
      </c>
      <c r="E2" s="26" t="s">
        <v>506</v>
      </c>
      <c r="F2" s="26" t="s">
        <v>507</v>
      </c>
      <c r="H2" s="27">
        <f>IF(AND(VLOOKUP(A2,MasterMaterials!A:J,10,FALSE)&lt;&gt;"",VLOOKUP(A2,MasterMaterials!A:J,10,FALSE)&lt;&gt;0),VLOOKUP(A2,MasterMaterials!A:J,10,FALSE),ROUND(I2*1.15/0.688,2))</f>
        <v>5.88</v>
      </c>
      <c r="I2" s="28">
        <f>VLOOKUP(A2,MasterMaterials!A:I,9,FALSE)</f>
        <v>2.24</v>
      </c>
      <c r="J2" s="26" t="s">
        <v>507</v>
      </c>
      <c r="M2" s="26" t="s">
        <v>18</v>
      </c>
    </row>
    <row r="3" ht="22.5" customHeight="1">
      <c r="A3" s="26" t="s">
        <v>20</v>
      </c>
      <c r="D3" s="26" t="s">
        <v>505</v>
      </c>
      <c r="E3" s="26" t="s">
        <v>506</v>
      </c>
      <c r="F3" s="26" t="s">
        <v>507</v>
      </c>
      <c r="H3" s="27">
        <f>IF(AND(VLOOKUP(A3,MasterMaterials!A:J,10,FALSE)&lt;&gt;"",VLOOKUP(A3,MasterMaterials!A:J,10,FALSE)&lt;&gt;0),VLOOKUP(A3,MasterMaterials!A:J,10,FALSE),ROUND(I3*1.15/0.688,2))</f>
        <v>1.18</v>
      </c>
      <c r="I3" s="28">
        <f>VLOOKUP(A3,MasterMaterials!A:I,9,FALSE)</f>
        <v>0.48</v>
      </c>
      <c r="J3" s="26" t="s">
        <v>507</v>
      </c>
      <c r="M3" s="26" t="s">
        <v>22</v>
      </c>
    </row>
    <row r="4" ht="22.5" customHeight="1">
      <c r="A4" s="26" t="s">
        <v>25</v>
      </c>
      <c r="D4" s="26" t="s">
        <v>505</v>
      </c>
      <c r="E4" s="26" t="s">
        <v>506</v>
      </c>
      <c r="F4" s="26" t="s">
        <v>507</v>
      </c>
      <c r="H4" s="27">
        <f>IF(AND(VLOOKUP(A4,MasterMaterials!A:J,10,FALSE)&lt;&gt;"",VLOOKUP(A4,MasterMaterials!A:J,10,FALSE)&lt;&gt;0),VLOOKUP(A4,MasterMaterials!A:J,10,FALSE),ROUND(I4*1.15/0.688,2))</f>
        <v>23.83</v>
      </c>
      <c r="I4" s="28">
        <f>VLOOKUP(A4,MasterMaterials!A:I,9,FALSE)</f>
        <v>20.72</v>
      </c>
      <c r="J4" s="26" t="s">
        <v>507</v>
      </c>
      <c r="M4" s="26" t="s">
        <v>25</v>
      </c>
    </row>
    <row r="5" ht="22.5" customHeight="1">
      <c r="A5" s="26" t="s">
        <v>28</v>
      </c>
      <c r="D5" s="26" t="s">
        <v>505</v>
      </c>
      <c r="E5" s="26" t="s">
        <v>506</v>
      </c>
      <c r="F5" s="26" t="s">
        <v>507</v>
      </c>
      <c r="H5" s="27">
        <f>IF(AND(VLOOKUP(A5,MasterMaterials!A:J,10,FALSE)&lt;&gt;"",VLOOKUP(A5,MasterMaterials!A:J,10,FALSE)&lt;&gt;0),VLOOKUP(A5,MasterMaterials!A:J,10,FALSE),ROUND(I5*1.15/0.688,2))</f>
        <v>13.19</v>
      </c>
      <c r="I5" s="28">
        <f>VLOOKUP(A5,MasterMaterials!A:I,9,FALSE)</f>
        <v>5.94</v>
      </c>
      <c r="J5" s="26" t="s">
        <v>507</v>
      </c>
      <c r="M5" s="26" t="s">
        <v>508</v>
      </c>
    </row>
    <row r="6" ht="22.5" customHeight="1">
      <c r="A6" s="26" t="s">
        <v>30</v>
      </c>
      <c r="D6" s="26" t="s">
        <v>505</v>
      </c>
      <c r="E6" s="26" t="s">
        <v>506</v>
      </c>
      <c r="F6" s="26" t="s">
        <v>507</v>
      </c>
      <c r="H6" s="27">
        <f>IF(AND(VLOOKUP(A6,MasterMaterials!A:J,10,FALSE)&lt;&gt;"",VLOOKUP(A6,MasterMaterials!A:J,10,FALSE)&lt;&gt;0),VLOOKUP(A6,MasterMaterials!A:J,10,FALSE),ROUND(I6*1.15/0.688,2))</f>
        <v>1.87</v>
      </c>
      <c r="I6" s="28">
        <f>VLOOKUP(A6,MasterMaterials!A:I,9,FALSE)</f>
        <v>0.87</v>
      </c>
      <c r="J6" s="26" t="s">
        <v>507</v>
      </c>
      <c r="M6" s="26" t="s">
        <v>509</v>
      </c>
    </row>
    <row r="7" ht="22.5" customHeight="1">
      <c r="A7" s="26" t="s">
        <v>32</v>
      </c>
      <c r="D7" s="26" t="s">
        <v>505</v>
      </c>
      <c r="E7" s="26" t="s">
        <v>506</v>
      </c>
      <c r="F7" s="26" t="s">
        <v>507</v>
      </c>
      <c r="H7" s="27">
        <f>IF(AND(VLOOKUP(A7,MasterMaterials!A:J,10,FALSE)&lt;&gt;"",VLOOKUP(A7,MasterMaterials!A:J,10,FALSE)&lt;&gt;0),VLOOKUP(A7,MasterMaterials!A:J,10,FALSE),ROUND(I7*1.15/0.688,2))</f>
        <v>26.22</v>
      </c>
      <c r="I7" s="28">
        <f>VLOOKUP(A7,MasterMaterials!A:I,9,FALSE)</f>
        <v>22.8</v>
      </c>
      <c r="J7" s="26" t="s">
        <v>507</v>
      </c>
      <c r="M7" s="26" t="s">
        <v>510</v>
      </c>
    </row>
    <row r="8" ht="22.5" customHeight="1">
      <c r="A8" s="26" t="s">
        <v>34</v>
      </c>
      <c r="D8" s="26" t="s">
        <v>505</v>
      </c>
      <c r="E8" s="26" t="s">
        <v>506</v>
      </c>
      <c r="F8" s="26" t="s">
        <v>507</v>
      </c>
      <c r="H8" s="27">
        <f>IF(AND(VLOOKUP(A8,MasterMaterials!A:J,10,FALSE)&lt;&gt;"",VLOOKUP(A8,MasterMaterials!A:J,10,FALSE)&lt;&gt;0),VLOOKUP(A8,MasterMaterials!A:J,10,FALSE),ROUND(I8*1.15/0.688,2))</f>
        <v>504.99</v>
      </c>
      <c r="I8" s="28">
        <f>VLOOKUP(A8,MasterMaterials!A:I,9,FALSE)</f>
        <v>252.5</v>
      </c>
      <c r="J8" s="26" t="s">
        <v>507</v>
      </c>
      <c r="M8" s="26" t="s">
        <v>511</v>
      </c>
    </row>
    <row r="9" ht="22.5" customHeight="1">
      <c r="A9" s="26" t="s">
        <v>36</v>
      </c>
      <c r="D9" s="26" t="s">
        <v>505</v>
      </c>
      <c r="E9" s="26" t="s">
        <v>506</v>
      </c>
      <c r="F9" s="26" t="s">
        <v>507</v>
      </c>
      <c r="H9" s="27">
        <f>IF(AND(VLOOKUP(A9,MasterMaterials!A:J,10,FALSE)&lt;&gt;"",VLOOKUP(A9,MasterMaterials!A:J,10,FALSE)&lt;&gt;0),VLOOKUP(A9,MasterMaterials!A:J,10,FALSE),ROUND(I9*1.15/0.688,2))</f>
        <v>97.75</v>
      </c>
      <c r="I9" s="28">
        <f>VLOOKUP(A9,MasterMaterials!A:I,9,FALSE)</f>
        <v>50.04</v>
      </c>
      <c r="J9" s="26" t="s">
        <v>507</v>
      </c>
      <c r="M9" s="26" t="s">
        <v>512</v>
      </c>
    </row>
    <row r="10" ht="22.5" customHeight="1">
      <c r="A10" s="26" t="s">
        <v>38</v>
      </c>
      <c r="D10" s="26" t="s">
        <v>505</v>
      </c>
      <c r="E10" s="26" t="s">
        <v>506</v>
      </c>
      <c r="F10" s="26" t="s">
        <v>507</v>
      </c>
      <c r="H10" s="27">
        <f>IF(AND(VLOOKUP(A10,MasterMaterials!A:J,10,FALSE)&lt;&gt;"",VLOOKUP(A10,MasterMaterials!A:J,10,FALSE)&lt;&gt;0),VLOOKUP(A10,MasterMaterials!A:J,10,FALSE),ROUND(I10*1.15/0.688,2))</f>
        <v>3.6</v>
      </c>
      <c r="I10" s="28">
        <f>VLOOKUP(A10,MasterMaterials!A:I,9,FALSE)</f>
        <v>1.62</v>
      </c>
      <c r="J10" s="26" t="s">
        <v>507</v>
      </c>
      <c r="M10" s="26" t="s">
        <v>513</v>
      </c>
    </row>
    <row r="11" ht="22.5" customHeight="1">
      <c r="A11" s="26" t="s">
        <v>40</v>
      </c>
      <c r="D11" s="26" t="s">
        <v>505</v>
      </c>
      <c r="E11" s="26" t="s">
        <v>506</v>
      </c>
      <c r="F11" s="26" t="s">
        <v>507</v>
      </c>
      <c r="H11" s="27">
        <f>IF(AND(VLOOKUP(A11,MasterMaterials!A:J,10,FALSE)&lt;&gt;"",VLOOKUP(A11,MasterMaterials!A:J,10,FALSE)&lt;&gt;0),VLOOKUP(A11,MasterMaterials!A:J,10,FALSE),ROUND(I11*1.15/0.688,2))</f>
        <v>0.74</v>
      </c>
      <c r="I11" s="28">
        <f>VLOOKUP(A11,MasterMaterials!A:I,9,FALSE)</f>
        <v>0.36</v>
      </c>
      <c r="J11" s="26" t="s">
        <v>507</v>
      </c>
      <c r="M11" s="26" t="s">
        <v>514</v>
      </c>
    </row>
    <row r="12" ht="22.5" customHeight="1">
      <c r="A12" s="26" t="s">
        <v>42</v>
      </c>
      <c r="D12" s="26" t="s">
        <v>505</v>
      </c>
      <c r="E12" s="26" t="s">
        <v>506</v>
      </c>
      <c r="F12" s="26" t="s">
        <v>507</v>
      </c>
      <c r="H12" s="27">
        <f>IF(AND(VLOOKUP(A12,MasterMaterials!A:J,10,FALSE)&lt;&gt;"",VLOOKUP(A12,MasterMaterials!A:J,10,FALSE)&lt;&gt;0),VLOOKUP(A12,MasterMaterials!A:J,10,FALSE),ROUND(I12*1.15/0.688,2))</f>
        <v>15.74</v>
      </c>
      <c r="I12" s="28">
        <f>VLOOKUP(A12,MasterMaterials!A:I,9,FALSE)</f>
        <v>13.69</v>
      </c>
      <c r="J12" s="26" t="s">
        <v>507</v>
      </c>
      <c r="M12" s="26" t="s">
        <v>42</v>
      </c>
    </row>
    <row r="13" ht="22.5" customHeight="1">
      <c r="A13" s="26" t="s">
        <v>44</v>
      </c>
      <c r="D13" s="26" t="s">
        <v>505</v>
      </c>
      <c r="E13" s="26" t="s">
        <v>506</v>
      </c>
      <c r="F13" s="26" t="s">
        <v>507</v>
      </c>
      <c r="H13" s="27">
        <f>IF(AND(VLOOKUP(A13,MasterMaterials!A:J,10,FALSE)&lt;&gt;"",VLOOKUP(A13,MasterMaterials!A:J,10,FALSE)&lt;&gt;0),VLOOKUP(A13,MasterMaterials!A:J,10,FALSE),ROUND(I13*1.15/0.688,2))</f>
        <v>204.53</v>
      </c>
      <c r="I13" s="28">
        <f>VLOOKUP(A13,MasterMaterials!A:I,9,FALSE)</f>
        <v>128.94</v>
      </c>
      <c r="J13" s="26" t="s">
        <v>507</v>
      </c>
      <c r="M13" s="26" t="s">
        <v>515</v>
      </c>
    </row>
    <row r="14" ht="22.5" customHeight="1">
      <c r="A14" s="26" t="s">
        <v>46</v>
      </c>
      <c r="D14" s="26" t="s">
        <v>505</v>
      </c>
      <c r="E14" s="26" t="s">
        <v>506</v>
      </c>
      <c r="F14" s="26" t="s">
        <v>507</v>
      </c>
      <c r="H14" s="27">
        <f>IF(AND(VLOOKUP(A14,MasterMaterials!A:J,10,FALSE)&lt;&gt;"",VLOOKUP(A14,MasterMaterials!A:J,10,FALSE)&lt;&gt;0),VLOOKUP(A14,MasterMaterials!A:J,10,FALSE),ROUND(I14*1.15/0.688,2))</f>
        <v>35.56</v>
      </c>
      <c r="I14" s="28">
        <f>VLOOKUP(A14,MasterMaterials!A:I,9,FALSE)</f>
        <v>17.78</v>
      </c>
      <c r="J14" s="26" t="s">
        <v>507</v>
      </c>
      <c r="M14" s="26" t="s">
        <v>516</v>
      </c>
    </row>
    <row r="15" ht="22.5" customHeight="1">
      <c r="A15" s="26" t="s">
        <v>48</v>
      </c>
      <c r="D15" s="26" t="s">
        <v>505</v>
      </c>
      <c r="E15" s="26" t="s">
        <v>506</v>
      </c>
      <c r="F15" s="26" t="s">
        <v>507</v>
      </c>
      <c r="H15" s="27">
        <f>IF(AND(VLOOKUP(A15,MasterMaterials!A:J,10,FALSE)&lt;&gt;"",VLOOKUP(A15,MasterMaterials!A:J,10,FALSE)&lt;&gt;0),VLOOKUP(A15,MasterMaterials!A:J,10,FALSE),ROUND(I15*1.15/0.688,2))</f>
        <v>1.69</v>
      </c>
      <c r="I15" s="28">
        <f>VLOOKUP(A15,MasterMaterials!A:I,9,FALSE)</f>
        <v>0.38</v>
      </c>
      <c r="J15" s="26" t="s">
        <v>507</v>
      </c>
      <c r="M15" s="26" t="s">
        <v>517</v>
      </c>
    </row>
    <row r="16" ht="22.5" customHeight="1">
      <c r="A16" s="26" t="s">
        <v>50</v>
      </c>
      <c r="D16" s="26" t="s">
        <v>505</v>
      </c>
      <c r="E16" s="26" t="s">
        <v>506</v>
      </c>
      <c r="F16" s="26" t="s">
        <v>507</v>
      </c>
      <c r="H16" s="27">
        <f>IF(AND(VLOOKUP(A16,MasterMaterials!A:J,10,FALSE)&lt;&gt;"",VLOOKUP(A16,MasterMaterials!A:J,10,FALSE)&lt;&gt;0),VLOOKUP(A16,MasterMaterials!A:J,10,FALSE),ROUND(I16*1.15/0.688,2))</f>
        <v>0.49</v>
      </c>
      <c r="I16" s="28">
        <f>VLOOKUP(A16,MasterMaterials!A:I,9,FALSE)</f>
        <v>0.13</v>
      </c>
      <c r="J16" s="26" t="s">
        <v>507</v>
      </c>
      <c r="M16" s="26" t="s">
        <v>518</v>
      </c>
    </row>
    <row r="17" ht="22.5" customHeight="1">
      <c r="A17" s="26" t="s">
        <v>52</v>
      </c>
      <c r="D17" s="26" t="s">
        <v>505</v>
      </c>
      <c r="E17" s="26" t="s">
        <v>506</v>
      </c>
      <c r="F17" s="26" t="s">
        <v>507</v>
      </c>
      <c r="H17" s="27">
        <f>IF(AND(VLOOKUP(A17,MasterMaterials!A:J,10,FALSE)&lt;&gt;"",VLOOKUP(A17,MasterMaterials!A:J,10,FALSE)&lt;&gt;0),VLOOKUP(A17,MasterMaterials!A:J,10,FALSE),ROUND(I17*1.15/0.688,2))</f>
        <v>12.64</v>
      </c>
      <c r="I17" s="28">
        <f>VLOOKUP(A17,MasterMaterials!A:I,9,FALSE)</f>
        <v>7.56</v>
      </c>
      <c r="J17" s="26" t="s">
        <v>507</v>
      </c>
      <c r="M17" s="26" t="s">
        <v>52</v>
      </c>
    </row>
    <row r="18" ht="22.5" customHeight="1">
      <c r="A18" s="26" t="s">
        <v>55</v>
      </c>
      <c r="D18" s="26" t="s">
        <v>505</v>
      </c>
      <c r="E18" s="26" t="s">
        <v>506</v>
      </c>
      <c r="F18" s="26" t="s">
        <v>507</v>
      </c>
      <c r="H18" s="27">
        <f>IF(AND(VLOOKUP(A18,MasterMaterials!A:J,10,FALSE)&lt;&gt;"",VLOOKUP(A18,MasterMaterials!A:J,10,FALSE)&lt;&gt;0),VLOOKUP(A18,MasterMaterials!A:J,10,FALSE),ROUND(I18*1.15/0.688,2))</f>
        <v>16.71</v>
      </c>
      <c r="I18" s="28">
        <f>VLOOKUP(A18,MasterMaterials!A:I,9,FALSE)</f>
        <v>7.53</v>
      </c>
      <c r="J18" s="26" t="s">
        <v>507</v>
      </c>
      <c r="M18" s="26" t="s">
        <v>519</v>
      </c>
    </row>
    <row r="19" ht="22.5" customHeight="1">
      <c r="A19" s="26" t="s">
        <v>57</v>
      </c>
      <c r="D19" s="26" t="s">
        <v>505</v>
      </c>
      <c r="E19" s="26" t="s">
        <v>506</v>
      </c>
      <c r="F19" s="26" t="s">
        <v>507</v>
      </c>
      <c r="H19" s="27">
        <f>IF(AND(VLOOKUP(A19,MasterMaterials!A:J,10,FALSE)&lt;&gt;"",VLOOKUP(A19,MasterMaterials!A:J,10,FALSE)&lt;&gt;0),VLOOKUP(A19,MasterMaterials!A:J,10,FALSE),ROUND(I19*1.15/0.688,2))</f>
        <v>3.01</v>
      </c>
      <c r="I19" s="28">
        <f>VLOOKUP(A19,MasterMaterials!A:I,9,FALSE)</f>
        <v>1.43</v>
      </c>
      <c r="J19" s="26" t="s">
        <v>507</v>
      </c>
      <c r="M19" s="26" t="s">
        <v>520</v>
      </c>
    </row>
    <row r="20" ht="22.5" customHeight="1">
      <c r="A20" s="26" t="s">
        <v>59</v>
      </c>
      <c r="D20" s="26" t="s">
        <v>505</v>
      </c>
      <c r="E20" s="26" t="s">
        <v>506</v>
      </c>
      <c r="F20" s="26" t="s">
        <v>507</v>
      </c>
      <c r="H20" s="27">
        <f>IF(AND(VLOOKUP(A20,MasterMaterials!A:J,10,FALSE)&lt;&gt;"",VLOOKUP(A20,MasterMaterials!A:J,10,FALSE)&lt;&gt;0),VLOOKUP(A20,MasterMaterials!A:J,10,FALSE),ROUND(I20*1.15/0.688,2))</f>
        <v>12.09</v>
      </c>
      <c r="I20" s="28">
        <f>VLOOKUP(A20,MasterMaterials!A:I,9,FALSE)</f>
        <v>4.75</v>
      </c>
      <c r="J20" s="26" t="s">
        <v>507</v>
      </c>
      <c r="M20" s="26" t="s">
        <v>521</v>
      </c>
    </row>
    <row r="21" ht="22.5" customHeight="1">
      <c r="A21" s="26" t="s">
        <v>61</v>
      </c>
      <c r="D21" s="26" t="s">
        <v>505</v>
      </c>
      <c r="E21" s="26" t="s">
        <v>506</v>
      </c>
      <c r="F21" s="26" t="s">
        <v>507</v>
      </c>
      <c r="H21" s="27">
        <f>IF(AND(VLOOKUP(A21,MasterMaterials!A:J,10,FALSE)&lt;&gt;"",VLOOKUP(A21,MasterMaterials!A:J,10,FALSE)&lt;&gt;0),VLOOKUP(A21,MasterMaterials!A:J,10,FALSE),ROUND(I21*1.15/0.688,2))</f>
        <v>37.59</v>
      </c>
      <c r="I21" s="28">
        <f>VLOOKUP(A21,MasterMaterials!A:I,9,FALSE)</f>
        <v>32.69</v>
      </c>
      <c r="J21" s="26" t="s">
        <v>507</v>
      </c>
      <c r="M21" s="26" t="s">
        <v>522</v>
      </c>
    </row>
    <row r="22" ht="22.5" customHeight="1">
      <c r="A22" s="26" t="s">
        <v>63</v>
      </c>
      <c r="D22" s="26" t="s">
        <v>505</v>
      </c>
      <c r="E22" s="26" t="s">
        <v>506</v>
      </c>
      <c r="F22" s="26" t="s">
        <v>507</v>
      </c>
      <c r="H22" s="27">
        <f>IF(AND(VLOOKUP(A22,MasterMaterials!A:J,10,FALSE)&lt;&gt;"",VLOOKUP(A22,MasterMaterials!A:J,10,FALSE)&lt;&gt;0),VLOOKUP(A22,MasterMaterials!A:J,10,FALSE),ROUND(I22*1.15/0.688,2))</f>
        <v>97.95</v>
      </c>
      <c r="I22" s="28">
        <f>VLOOKUP(A22,MasterMaterials!A:I,9,FALSE)</f>
        <v>49.75</v>
      </c>
      <c r="J22" s="26" t="s">
        <v>507</v>
      </c>
      <c r="M22" s="26" t="s">
        <v>523</v>
      </c>
    </row>
    <row r="23" ht="22.5" customHeight="1">
      <c r="A23" s="26" t="s">
        <v>65</v>
      </c>
      <c r="D23" s="26" t="s">
        <v>505</v>
      </c>
      <c r="E23" s="26" t="s">
        <v>506</v>
      </c>
      <c r="F23" s="26" t="s">
        <v>524</v>
      </c>
      <c r="H23" s="27">
        <f>IF(AND(VLOOKUP(A23,MasterMaterials!A:J,10,FALSE)&lt;&gt;"",VLOOKUP(A23,MasterMaterials!A:J,10,FALSE)&lt;&gt;0),VLOOKUP(A23,MasterMaterials!A:J,10,FALSE),ROUND(I23*1.15/0.688,2))</f>
        <v>4.5</v>
      </c>
      <c r="I23" s="28">
        <f>VLOOKUP(A23,MasterMaterials!A:I,9,FALSE)</f>
        <v>2.25</v>
      </c>
      <c r="J23" s="26" t="s">
        <v>525</v>
      </c>
      <c r="M23" s="26" t="s">
        <v>526</v>
      </c>
    </row>
    <row r="24" ht="22.5" customHeight="1">
      <c r="A24" s="26" t="s">
        <v>67</v>
      </c>
      <c r="D24" s="26" t="s">
        <v>505</v>
      </c>
      <c r="E24" s="26" t="s">
        <v>506</v>
      </c>
      <c r="F24" s="26" t="s">
        <v>524</v>
      </c>
      <c r="H24" s="27">
        <f>IF(AND(VLOOKUP(A24,MasterMaterials!A:J,10,FALSE)&lt;&gt;"",VLOOKUP(A24,MasterMaterials!A:J,10,FALSE)&lt;&gt;0),VLOOKUP(A24,MasterMaterials!A:J,10,FALSE),ROUND(I24*1.15/0.688,2))</f>
        <v>14.21</v>
      </c>
      <c r="I24" s="28">
        <f>VLOOKUP(A24,MasterMaterials!A:I,9,FALSE)</f>
        <v>8.5</v>
      </c>
      <c r="J24" s="26" t="s">
        <v>525</v>
      </c>
      <c r="M24" s="26" t="s">
        <v>527</v>
      </c>
    </row>
    <row r="25" ht="22.5" customHeight="1">
      <c r="A25" s="26" t="s">
        <v>69</v>
      </c>
      <c r="D25" s="26" t="s">
        <v>505</v>
      </c>
      <c r="E25" s="26" t="s">
        <v>506</v>
      </c>
      <c r="F25" s="26" t="s">
        <v>524</v>
      </c>
      <c r="H25" s="27">
        <f>IF(AND(VLOOKUP(A25,MasterMaterials!A:J,10,FALSE)&lt;&gt;"",VLOOKUP(A25,MasterMaterials!A:J,10,FALSE)&lt;&gt;0),VLOOKUP(A25,MasterMaterials!A:J,10,FALSE),ROUND(I25*1.15/0.688,2))</f>
        <v>10.58</v>
      </c>
      <c r="I25" s="28">
        <f>VLOOKUP(A25,MasterMaterials!A:I,9,FALSE)</f>
        <v>6.33</v>
      </c>
      <c r="J25" s="26" t="s">
        <v>525</v>
      </c>
      <c r="M25" s="26" t="s">
        <v>528</v>
      </c>
    </row>
    <row r="26" ht="22.5" customHeight="1">
      <c r="A26" s="26" t="s">
        <v>71</v>
      </c>
      <c r="D26" s="26" t="s">
        <v>505</v>
      </c>
      <c r="E26" s="26" t="s">
        <v>506</v>
      </c>
      <c r="F26" s="26" t="s">
        <v>524</v>
      </c>
      <c r="H26" s="27">
        <f>IF(AND(VLOOKUP(A26,MasterMaterials!A:J,10,FALSE)&lt;&gt;"",VLOOKUP(A26,MasterMaterials!A:J,10,FALSE)&lt;&gt;0),VLOOKUP(A26,MasterMaterials!A:J,10,FALSE),ROUND(I26*1.15/0.688,2))</f>
        <v>6.18</v>
      </c>
      <c r="I26" s="28">
        <f>VLOOKUP(A26,MasterMaterials!A:I,9,FALSE)</f>
        <v>3.7</v>
      </c>
      <c r="J26" s="26" t="s">
        <v>525</v>
      </c>
      <c r="M26" s="26" t="s">
        <v>529</v>
      </c>
    </row>
    <row r="27" ht="22.5" customHeight="1">
      <c r="A27" s="26" t="s">
        <v>73</v>
      </c>
      <c r="D27" s="26" t="s">
        <v>505</v>
      </c>
      <c r="E27" s="26" t="s">
        <v>506</v>
      </c>
      <c r="F27" s="26" t="s">
        <v>507</v>
      </c>
      <c r="H27" s="27">
        <f>IF(AND(VLOOKUP(A27,MasterMaterials!A:J,10,FALSE)&lt;&gt;"",VLOOKUP(A27,MasterMaterials!A:J,10,FALSE)&lt;&gt;0),VLOOKUP(A27,MasterMaterials!A:J,10,FALSE),ROUND(I27*1.15/0.688,2))</f>
        <v>41.79</v>
      </c>
      <c r="I27" s="28">
        <f>VLOOKUP(A27,MasterMaterials!A:I,9,FALSE)</f>
        <v>25</v>
      </c>
      <c r="J27" s="26" t="s">
        <v>507</v>
      </c>
      <c r="M27" s="26" t="s">
        <v>530</v>
      </c>
    </row>
    <row r="28" ht="22.5" customHeight="1">
      <c r="A28" s="26" t="s">
        <v>75</v>
      </c>
      <c r="D28" s="26" t="s">
        <v>505</v>
      </c>
      <c r="E28" s="26" t="s">
        <v>506</v>
      </c>
      <c r="F28" s="26" t="s">
        <v>507</v>
      </c>
      <c r="H28" s="27">
        <f>IF(AND(VLOOKUP(A28,MasterMaterials!A:J,10,FALSE)&lt;&gt;"",VLOOKUP(A28,MasterMaterials!A:J,10,FALSE)&lt;&gt;0),VLOOKUP(A28,MasterMaterials!A:J,10,FALSE),ROUND(I28*1.15/0.688,2))</f>
        <v>543</v>
      </c>
      <c r="I28" s="28">
        <f>VLOOKUP(A28,MasterMaterials!A:I,9,FALSE)</f>
        <v>96</v>
      </c>
      <c r="J28" s="26" t="s">
        <v>507</v>
      </c>
      <c r="M28" s="26" t="s">
        <v>531</v>
      </c>
    </row>
    <row r="29" ht="22.5" customHeight="1">
      <c r="A29" s="26" t="s">
        <v>77</v>
      </c>
      <c r="D29" s="26" t="s">
        <v>505</v>
      </c>
      <c r="E29" s="26" t="s">
        <v>506</v>
      </c>
      <c r="F29" s="26" t="s">
        <v>507</v>
      </c>
      <c r="H29" s="27">
        <f>IF(AND(VLOOKUP(A29,MasterMaterials!A:J,10,FALSE)&lt;&gt;"",VLOOKUP(A29,MasterMaterials!A:J,10,FALSE)&lt;&gt;0),VLOOKUP(A29,MasterMaterials!A:J,10,FALSE),ROUND(I29*1.15/0.688,2))</f>
        <v>6.59</v>
      </c>
      <c r="I29" s="28">
        <f>VLOOKUP(A29,MasterMaterials!A:I,9,FALSE)</f>
        <v>3.43</v>
      </c>
      <c r="J29" s="26" t="s">
        <v>507</v>
      </c>
      <c r="M29" s="26" t="s">
        <v>532</v>
      </c>
    </row>
    <row r="30" ht="22.5" customHeight="1">
      <c r="A30" s="26" t="s">
        <v>79</v>
      </c>
      <c r="D30" s="26" t="s">
        <v>505</v>
      </c>
      <c r="E30" s="26" t="s">
        <v>506</v>
      </c>
      <c r="F30" s="26" t="s">
        <v>507</v>
      </c>
      <c r="H30" s="27">
        <f>IF(AND(VLOOKUP(A30,MasterMaterials!A:J,10,FALSE)&lt;&gt;"",VLOOKUP(A30,MasterMaterials!A:J,10,FALSE)&lt;&gt;0),VLOOKUP(A30,MasterMaterials!A:J,10,FALSE),ROUND(I30*1.15/0.688,2))</f>
        <v>58.47</v>
      </c>
      <c r="I30" s="28">
        <f>VLOOKUP(A30,MasterMaterials!A:I,9,FALSE)</f>
        <v>34.98</v>
      </c>
      <c r="J30" s="26" t="s">
        <v>507</v>
      </c>
      <c r="M30" s="26" t="s">
        <v>533</v>
      </c>
    </row>
    <row r="31" ht="22.5" customHeight="1">
      <c r="A31" s="26" t="s">
        <v>81</v>
      </c>
      <c r="D31" s="26" t="s">
        <v>505</v>
      </c>
      <c r="E31" s="26" t="s">
        <v>506</v>
      </c>
      <c r="F31" s="26" t="s">
        <v>534</v>
      </c>
      <c r="H31" s="27">
        <f>IF(AND(VLOOKUP(A31,MasterMaterials!A:J,10,FALSE)&lt;&gt;"",VLOOKUP(A31,MasterMaterials!A:J,10,FALSE)&lt;&gt;0),VLOOKUP(A31,MasterMaterials!A:J,10,FALSE),ROUND(I31*1.15/0.688,2))</f>
        <v>1256.14</v>
      </c>
      <c r="I31" s="28">
        <f>VLOOKUP(A31,MasterMaterials!A:I,9,FALSE)</f>
        <v>751.5</v>
      </c>
      <c r="J31" s="26" t="s">
        <v>535</v>
      </c>
      <c r="M31" s="26" t="s">
        <v>536</v>
      </c>
    </row>
    <row r="32" ht="22.5" customHeight="1">
      <c r="A32" s="26" t="s">
        <v>83</v>
      </c>
      <c r="D32" s="26" t="s">
        <v>505</v>
      </c>
      <c r="E32" s="26" t="s">
        <v>506</v>
      </c>
      <c r="F32" s="26" t="s">
        <v>534</v>
      </c>
      <c r="H32" s="27">
        <f>IF(AND(VLOOKUP(A32,MasterMaterials!A:J,10,FALSE)&lt;&gt;"",VLOOKUP(A32,MasterMaterials!A:J,10,FALSE)&lt;&gt;0),VLOOKUP(A32,MasterMaterials!A:J,10,FALSE),ROUND(I32*1.15/0.688,2))</f>
        <v>1423.29</v>
      </c>
      <c r="I32" s="28">
        <f>VLOOKUP(A32,MasterMaterials!A:I,9,FALSE)</f>
        <v>851.5</v>
      </c>
      <c r="J32" s="26" t="s">
        <v>535</v>
      </c>
      <c r="M32" s="26" t="s">
        <v>537</v>
      </c>
    </row>
    <row r="33" ht="22.5" customHeight="1">
      <c r="A33" s="26" t="s">
        <v>85</v>
      </c>
      <c r="D33" s="26" t="s">
        <v>505</v>
      </c>
      <c r="E33" s="26" t="s">
        <v>506</v>
      </c>
      <c r="F33" s="26" t="s">
        <v>534</v>
      </c>
      <c r="H33" s="27">
        <f>IF(AND(VLOOKUP(A33,MasterMaterials!A:J,10,FALSE)&lt;&gt;"",VLOOKUP(A33,MasterMaterials!A:J,10,FALSE)&lt;&gt;0),VLOOKUP(A33,MasterMaterials!A:J,10,FALSE),ROUND(I33*1.15/0.688,2))</f>
        <v>22</v>
      </c>
      <c r="I33" s="28">
        <f>VLOOKUP(A33,MasterMaterials!A:I,9,FALSE)</f>
        <v>22</v>
      </c>
      <c r="J33" s="26" t="s">
        <v>538</v>
      </c>
      <c r="M33" s="26" t="s">
        <v>539</v>
      </c>
    </row>
    <row r="34" ht="22.5" customHeight="1">
      <c r="A34" s="26" t="s">
        <v>87</v>
      </c>
      <c r="D34" s="26" t="s">
        <v>505</v>
      </c>
      <c r="E34" s="26" t="s">
        <v>506</v>
      </c>
      <c r="F34" s="26" t="s">
        <v>534</v>
      </c>
      <c r="H34" s="27">
        <f>IF(AND(VLOOKUP(A34,MasterMaterials!A:J,10,FALSE)&lt;&gt;"",VLOOKUP(A34,MasterMaterials!A:J,10,FALSE)&lt;&gt;0),VLOOKUP(A34,MasterMaterials!A:J,10,FALSE),ROUND(I34*1.15/0.688,2))</f>
        <v>15</v>
      </c>
      <c r="I34" s="28">
        <f>VLOOKUP(A34,MasterMaterials!A:I,9,FALSE)</f>
        <v>15</v>
      </c>
      <c r="J34" s="26" t="s">
        <v>538</v>
      </c>
      <c r="M34" s="26" t="s">
        <v>540</v>
      </c>
    </row>
    <row r="35" ht="22.5" customHeight="1">
      <c r="A35" s="26" t="s">
        <v>89</v>
      </c>
      <c r="D35" s="26" t="s">
        <v>505</v>
      </c>
      <c r="E35" s="26" t="s">
        <v>506</v>
      </c>
      <c r="F35" s="26" t="s">
        <v>534</v>
      </c>
      <c r="H35" s="27">
        <f>IF(AND(VLOOKUP(A35,MasterMaterials!A:J,10,FALSE)&lt;&gt;"",VLOOKUP(A35,MasterMaterials!A:J,10,FALSE)&lt;&gt;0),VLOOKUP(A35,MasterMaterials!A:J,10,FALSE),ROUND(I35*1.15/0.688,2))</f>
        <v>6</v>
      </c>
      <c r="I35" s="28">
        <f>VLOOKUP(A35,MasterMaterials!A:I,9,FALSE)</f>
        <v>6</v>
      </c>
      <c r="J35" s="26" t="s">
        <v>538</v>
      </c>
      <c r="M35" s="26" t="s">
        <v>541</v>
      </c>
    </row>
    <row r="36" ht="22.5" customHeight="1">
      <c r="A36" s="26" t="s">
        <v>91</v>
      </c>
      <c r="D36" s="26" t="s">
        <v>505</v>
      </c>
      <c r="E36" s="26" t="s">
        <v>506</v>
      </c>
      <c r="F36" s="26" t="s">
        <v>534</v>
      </c>
      <c r="H36" s="27">
        <f>IF(AND(VLOOKUP(A36,MasterMaterials!A:J,10,FALSE)&lt;&gt;"",VLOOKUP(A36,MasterMaterials!A:J,10,FALSE)&lt;&gt;0),VLOOKUP(A36,MasterMaterials!A:J,10,FALSE),ROUND(I36*1.15/0.688,2))</f>
        <v>1</v>
      </c>
      <c r="I36" s="28">
        <f>VLOOKUP(A36,MasterMaterials!A:I,9,FALSE)</f>
        <v>0</v>
      </c>
      <c r="J36" s="26" t="s">
        <v>538</v>
      </c>
      <c r="M36" s="26" t="s">
        <v>91</v>
      </c>
    </row>
    <row r="37" ht="22.5" customHeight="1">
      <c r="A37" s="26" t="s">
        <v>94</v>
      </c>
      <c r="D37" s="26" t="s">
        <v>505</v>
      </c>
      <c r="E37" s="26" t="s">
        <v>506</v>
      </c>
      <c r="F37" s="26" t="s">
        <v>524</v>
      </c>
      <c r="H37" s="27">
        <f>IF(AND(VLOOKUP(A37,MasterMaterials!A:J,10,FALSE)&lt;&gt;"",VLOOKUP(A37,MasterMaterials!A:J,10,FALSE)&lt;&gt;0),VLOOKUP(A37,MasterMaterials!A:J,10,FALSE),ROUND(I37*1.15/0.688,2))</f>
        <v>0.24</v>
      </c>
      <c r="I37" s="28">
        <f>VLOOKUP(A37,MasterMaterials!A:I,9,FALSE)</f>
        <v>0.11</v>
      </c>
      <c r="J37" s="26" t="s">
        <v>542</v>
      </c>
      <c r="M37" s="26" t="s">
        <v>543</v>
      </c>
    </row>
    <row r="38" ht="22.5" customHeight="1">
      <c r="A38" s="26" t="s">
        <v>96</v>
      </c>
      <c r="D38" s="26" t="s">
        <v>505</v>
      </c>
      <c r="E38" s="26" t="s">
        <v>506</v>
      </c>
      <c r="F38" s="26" t="s">
        <v>534</v>
      </c>
      <c r="H38" s="27">
        <f>IF(AND(VLOOKUP(A38,MasterMaterials!A:J,10,FALSE)&lt;&gt;"",VLOOKUP(A38,MasterMaterials!A:J,10,FALSE)&lt;&gt;0),VLOOKUP(A38,MasterMaterials!A:J,10,FALSE),ROUND(I38*1.15/0.688,2))</f>
        <v>637.3</v>
      </c>
      <c r="I38" s="28">
        <f>VLOOKUP(A38,MasterMaterials!A:I,9,FALSE)</f>
        <v>365</v>
      </c>
      <c r="J38" s="26" t="s">
        <v>535</v>
      </c>
      <c r="M38" s="26" t="s">
        <v>544</v>
      </c>
    </row>
    <row r="39" ht="22.5" customHeight="1">
      <c r="A39" s="26" t="s">
        <v>98</v>
      </c>
      <c r="D39" s="26" t="s">
        <v>505</v>
      </c>
      <c r="E39" s="26" t="s">
        <v>506</v>
      </c>
      <c r="F39" s="26" t="s">
        <v>534</v>
      </c>
      <c r="H39" s="27">
        <f>IF(AND(VLOOKUP(A39,MasterMaterials!A:J,10,FALSE)&lt;&gt;"",VLOOKUP(A39,MasterMaterials!A:J,10,FALSE)&lt;&gt;0),VLOOKUP(A39,MasterMaterials!A:J,10,FALSE),ROUND(I39*1.15/0.688,2))</f>
        <v>532.81</v>
      </c>
      <c r="I39" s="28">
        <f>VLOOKUP(A39,MasterMaterials!A:I,9,FALSE)</f>
        <v>300</v>
      </c>
      <c r="J39" s="26" t="s">
        <v>535</v>
      </c>
      <c r="M39" s="26" t="s">
        <v>545</v>
      </c>
    </row>
    <row r="40" ht="22.5" customHeight="1">
      <c r="A40" s="26" t="s">
        <v>100</v>
      </c>
      <c r="D40" s="26" t="s">
        <v>505</v>
      </c>
      <c r="E40" s="26" t="s">
        <v>506</v>
      </c>
      <c r="F40" s="26" t="s">
        <v>534</v>
      </c>
      <c r="H40" s="27">
        <f>IF(AND(VLOOKUP(A40,MasterMaterials!A:J,10,FALSE)&lt;&gt;"",VLOOKUP(A40,MasterMaterials!A:J,10,FALSE)&lt;&gt;0),VLOOKUP(A40,MasterMaterials!A:J,10,FALSE),ROUND(I40*1.15/0.688,2))</f>
        <v>527.3</v>
      </c>
      <c r="I40" s="28">
        <f>VLOOKUP(A40,MasterMaterials!A:I,9,FALSE)</f>
        <v>335</v>
      </c>
      <c r="J40" s="26" t="s">
        <v>535</v>
      </c>
      <c r="M40" s="26" t="s">
        <v>546</v>
      </c>
    </row>
    <row r="41" ht="22.5" customHeight="1">
      <c r="A41" s="26" t="s">
        <v>102</v>
      </c>
      <c r="D41" s="26" t="s">
        <v>505</v>
      </c>
      <c r="E41" s="26" t="s">
        <v>506</v>
      </c>
      <c r="F41" s="26" t="s">
        <v>534</v>
      </c>
      <c r="H41" s="27">
        <f>IF(AND(VLOOKUP(A41,MasterMaterials!A:J,10,FALSE)&lt;&gt;"",VLOOKUP(A41,MasterMaterials!A:J,10,FALSE)&lt;&gt;0),VLOOKUP(A41,MasterMaterials!A:J,10,FALSE),ROUND(I41*1.15/0.688,2))</f>
        <v>420</v>
      </c>
      <c r="I41" s="28">
        <f>VLOOKUP(A41,MasterMaterials!A:I,9,FALSE)</f>
        <v>250</v>
      </c>
      <c r="J41" s="26" t="s">
        <v>535</v>
      </c>
      <c r="M41" s="26" t="s">
        <v>547</v>
      </c>
    </row>
    <row r="42" ht="22.5" customHeight="1">
      <c r="A42" s="26" t="s">
        <v>104</v>
      </c>
      <c r="D42" s="26" t="s">
        <v>505</v>
      </c>
      <c r="E42" s="26" t="s">
        <v>506</v>
      </c>
      <c r="F42" s="26" t="s">
        <v>534</v>
      </c>
      <c r="H42" s="27">
        <f>IF(AND(VLOOKUP(A42,MasterMaterials!A:J,10,FALSE)&lt;&gt;"",VLOOKUP(A42,MasterMaterials!A:J,10,FALSE)&lt;&gt;0),VLOOKUP(A42,MasterMaterials!A:J,10,FALSE),ROUND(I42*1.15/0.688,2))</f>
        <v>733.33</v>
      </c>
      <c r="I42" s="28">
        <f>VLOOKUP(A42,MasterMaterials!A:I,9,FALSE)</f>
        <v>420</v>
      </c>
      <c r="J42" s="26" t="s">
        <v>535</v>
      </c>
      <c r="M42" s="26" t="s">
        <v>548</v>
      </c>
    </row>
    <row r="43" ht="22.5" customHeight="1">
      <c r="A43" s="26" t="s">
        <v>106</v>
      </c>
      <c r="D43" s="26" t="s">
        <v>505</v>
      </c>
      <c r="E43" s="26" t="s">
        <v>506</v>
      </c>
      <c r="F43" s="26" t="s">
        <v>534</v>
      </c>
      <c r="H43" s="27">
        <f>IF(AND(VLOOKUP(A43,MasterMaterials!A:J,10,FALSE)&lt;&gt;"",VLOOKUP(A43,MasterMaterials!A:J,10,FALSE)&lt;&gt;0),VLOOKUP(A43,MasterMaterials!A:J,10,FALSE),ROUND(I43*1.15/0.688,2))</f>
        <v>785.71</v>
      </c>
      <c r="I43" s="28">
        <f>VLOOKUP(A43,MasterMaterials!A:I,9,FALSE)</f>
        <v>450</v>
      </c>
      <c r="J43" s="26" t="s">
        <v>538</v>
      </c>
      <c r="M43" s="26" t="s">
        <v>549</v>
      </c>
    </row>
    <row r="44" ht="22.5" customHeight="1">
      <c r="A44" s="26" t="s">
        <v>108</v>
      </c>
      <c r="D44" s="26" t="s">
        <v>505</v>
      </c>
      <c r="E44" s="26" t="s">
        <v>506</v>
      </c>
      <c r="F44" s="26" t="s">
        <v>534</v>
      </c>
      <c r="H44" s="27">
        <f>IF(AND(VLOOKUP(A44,MasterMaterials!A:J,10,FALSE)&lt;&gt;"",VLOOKUP(A44,MasterMaterials!A:J,10,FALSE)&lt;&gt;0),VLOOKUP(A44,MasterMaterials!A:J,10,FALSE),ROUND(I44*1.15/0.688,2))</f>
        <v>785.71</v>
      </c>
      <c r="I44" s="28">
        <f>VLOOKUP(A44,MasterMaterials!A:I,9,FALSE)</f>
        <v>360</v>
      </c>
      <c r="J44" s="26" t="s">
        <v>538</v>
      </c>
      <c r="M44" s="26" t="s">
        <v>550</v>
      </c>
    </row>
    <row r="45" ht="22.5" customHeight="1">
      <c r="A45" s="26" t="s">
        <v>110</v>
      </c>
      <c r="D45" s="26" t="s">
        <v>505</v>
      </c>
      <c r="E45" s="26" t="s">
        <v>506</v>
      </c>
      <c r="F45" s="26" t="s">
        <v>534</v>
      </c>
      <c r="H45" s="27">
        <f>IF(AND(VLOOKUP(A45,MasterMaterials!A:J,10,FALSE)&lt;&gt;"",VLOOKUP(A45,MasterMaterials!A:J,10,FALSE)&lt;&gt;0),VLOOKUP(A45,MasterMaterials!A:J,10,FALSE),ROUND(I45*1.15/0.688,2))</f>
        <v>1134.9</v>
      </c>
      <c r="I45" s="28">
        <f>VLOOKUP(A45,MasterMaterials!A:I,9,FALSE)</f>
        <v>650</v>
      </c>
      <c r="J45" s="26" t="s">
        <v>538</v>
      </c>
      <c r="M45" s="26" t="s">
        <v>551</v>
      </c>
    </row>
    <row r="46" ht="22.5" customHeight="1">
      <c r="A46" s="26" t="s">
        <v>112</v>
      </c>
      <c r="D46" s="26" t="s">
        <v>505</v>
      </c>
      <c r="E46" s="26" t="s">
        <v>506</v>
      </c>
      <c r="F46" s="26" t="s">
        <v>534</v>
      </c>
      <c r="H46" s="27">
        <f>IF(AND(VLOOKUP(A46,MasterMaterials!A:J,10,FALSE)&lt;&gt;"",VLOOKUP(A46,MasterMaterials!A:J,10,FALSE)&lt;&gt;0),VLOOKUP(A46,MasterMaterials!A:J,10,FALSE),ROUND(I46*1.15/0.688,2))</f>
        <v>1012.7</v>
      </c>
      <c r="I46" s="28">
        <f>VLOOKUP(A46,MasterMaterials!A:I,9,FALSE)</f>
        <v>580</v>
      </c>
      <c r="J46" s="26" t="s">
        <v>538</v>
      </c>
      <c r="M46" s="26" t="s">
        <v>552</v>
      </c>
    </row>
    <row r="47" ht="22.5" customHeight="1">
      <c r="A47" s="26" t="s">
        <v>114</v>
      </c>
      <c r="D47" s="26" t="s">
        <v>505</v>
      </c>
      <c r="E47" s="26" t="s">
        <v>506</v>
      </c>
      <c r="F47" s="26" t="s">
        <v>524</v>
      </c>
      <c r="H47" s="27">
        <f>IF(AND(VLOOKUP(A47,MasterMaterials!A:J,10,FALSE)&lt;&gt;"",VLOOKUP(A47,MasterMaterials!A:J,10,FALSE)&lt;&gt;0),VLOOKUP(A47,MasterMaterials!A:J,10,FALSE),ROUND(I47*1.15/0.688,2))</f>
        <v>12.54</v>
      </c>
      <c r="I47" s="28">
        <f>VLOOKUP(A47,MasterMaterials!A:I,9,FALSE)</f>
        <v>7.5</v>
      </c>
      <c r="J47" s="26" t="s">
        <v>553</v>
      </c>
      <c r="M47" s="26" t="s">
        <v>554</v>
      </c>
    </row>
    <row r="48" ht="22.5" customHeight="1">
      <c r="A48" s="26" t="s">
        <v>117</v>
      </c>
      <c r="D48" s="26" t="s">
        <v>505</v>
      </c>
      <c r="E48" s="26" t="s">
        <v>506</v>
      </c>
      <c r="F48" s="26" t="s">
        <v>507</v>
      </c>
      <c r="H48" s="27">
        <f>IF(AND(VLOOKUP(A48,MasterMaterials!A:J,10,FALSE)&lt;&gt;"",VLOOKUP(A48,MasterMaterials!A:J,10,FALSE)&lt;&gt;0),VLOOKUP(A48,MasterMaterials!A:J,10,FALSE),ROUND(I48*1.15/0.688,2))</f>
        <v>4.9</v>
      </c>
      <c r="I48" s="28">
        <f>VLOOKUP(A48,MasterMaterials!A:I,9,FALSE)</f>
        <v>2.15</v>
      </c>
      <c r="J48" s="26" t="s">
        <v>507</v>
      </c>
      <c r="M48" s="26" t="s">
        <v>555</v>
      </c>
    </row>
    <row r="49" ht="22.5" customHeight="1">
      <c r="A49" s="26" t="s">
        <v>119</v>
      </c>
      <c r="D49" s="26" t="s">
        <v>505</v>
      </c>
      <c r="E49" s="26" t="s">
        <v>506</v>
      </c>
      <c r="F49" s="26" t="s">
        <v>524</v>
      </c>
      <c r="H49" s="27">
        <f>IF(AND(VLOOKUP(A49,MasterMaterials!A:J,10,FALSE)&lt;&gt;"",VLOOKUP(A49,MasterMaterials!A:J,10,FALSE)&lt;&gt;0),VLOOKUP(A49,MasterMaterials!A:J,10,FALSE),ROUND(I49*1.15/0.688,2))</f>
        <v>431</v>
      </c>
      <c r="I49" s="28">
        <f>VLOOKUP(A49,MasterMaterials!A:I,9,FALSE)</f>
        <v>375</v>
      </c>
      <c r="J49" s="26" t="s">
        <v>553</v>
      </c>
      <c r="M49" s="26" t="s">
        <v>556</v>
      </c>
    </row>
    <row r="50" ht="22.5" customHeight="1">
      <c r="A50" s="26" t="s">
        <v>122</v>
      </c>
      <c r="D50" s="26" t="s">
        <v>505</v>
      </c>
      <c r="E50" s="26" t="s">
        <v>506</v>
      </c>
      <c r="F50" s="26" t="s">
        <v>534</v>
      </c>
      <c r="H50" s="27">
        <f>IF(AND(VLOOKUP(A50,MasterMaterials!A:J,10,FALSE)&lt;&gt;"",VLOOKUP(A50,MasterMaterials!A:J,10,FALSE)&lt;&gt;0),VLOOKUP(A50,MasterMaterials!A:J,10,FALSE),ROUND(I50*1.15/0.688,2))</f>
        <v>722.09</v>
      </c>
      <c r="I50" s="28">
        <f>VLOOKUP(A50,MasterMaterials!A:I,9,FALSE)</f>
        <v>432</v>
      </c>
      <c r="J50" s="26" t="s">
        <v>535</v>
      </c>
      <c r="M50" s="26" t="s">
        <v>557</v>
      </c>
    </row>
    <row r="51" ht="22.5" customHeight="1">
      <c r="A51" s="26" t="s">
        <v>124</v>
      </c>
      <c r="D51" s="26" t="s">
        <v>505</v>
      </c>
      <c r="E51" s="26" t="s">
        <v>506</v>
      </c>
      <c r="F51" s="26" t="s">
        <v>507</v>
      </c>
      <c r="H51" s="27">
        <f>IF(AND(VLOOKUP(A51,MasterMaterials!A:J,10,FALSE)&lt;&gt;"",VLOOKUP(A51,MasterMaterials!A:J,10,FALSE)&lt;&gt;0),VLOOKUP(A51,MasterMaterials!A:J,10,FALSE),ROUND(I51*1.15/0.688,2))</f>
        <v>10.6</v>
      </c>
      <c r="I51" s="28">
        <f>VLOOKUP(A51,MasterMaterials!A:I,9,FALSE)</f>
        <v>6.34</v>
      </c>
      <c r="J51" s="26" t="s">
        <v>507</v>
      </c>
      <c r="M51" s="26" t="s">
        <v>558</v>
      </c>
    </row>
    <row r="52" ht="22.5" customHeight="1">
      <c r="A52" s="26" t="s">
        <v>126</v>
      </c>
      <c r="D52" s="26" t="s">
        <v>505</v>
      </c>
      <c r="E52" s="26" t="s">
        <v>506</v>
      </c>
      <c r="F52" s="26" t="s">
        <v>534</v>
      </c>
      <c r="H52" s="27">
        <f>IF(AND(VLOOKUP(A52,MasterMaterials!A:J,10,FALSE)&lt;&gt;"",VLOOKUP(A52,MasterMaterials!A:J,10,FALSE)&lt;&gt;0),VLOOKUP(A52,MasterMaterials!A:J,10,FALSE),ROUND(I52*1.15/0.688,2))</f>
        <v>2.34</v>
      </c>
      <c r="I52" s="28">
        <f>VLOOKUP(A52,MasterMaterials!A:I,9,FALSE)</f>
        <v>1.4</v>
      </c>
      <c r="J52" s="26" t="s">
        <v>559</v>
      </c>
      <c r="M52" s="26" t="s">
        <v>560</v>
      </c>
    </row>
    <row r="53" ht="22.5" customHeight="1">
      <c r="A53" s="26" t="s">
        <v>128</v>
      </c>
      <c r="D53" s="26" t="s">
        <v>505</v>
      </c>
      <c r="E53" s="26" t="s">
        <v>506</v>
      </c>
      <c r="F53" s="26" t="s">
        <v>524</v>
      </c>
      <c r="H53" s="27">
        <f>IF(AND(VLOOKUP(A53,MasterMaterials!A:J,10,FALSE)&lt;&gt;"",VLOOKUP(A53,MasterMaterials!A:J,10,FALSE)&lt;&gt;0),VLOOKUP(A53,MasterMaterials!A:J,10,FALSE),ROUND(I53*1.15/0.688,2))</f>
        <v>1.67</v>
      </c>
      <c r="I53" s="28">
        <f>VLOOKUP(A53,MasterMaterials!A:I,9,FALSE)</f>
        <v>1</v>
      </c>
      <c r="J53" s="26" t="s">
        <v>542</v>
      </c>
      <c r="M53" s="26" t="s">
        <v>561</v>
      </c>
    </row>
    <row r="54" ht="22.5" customHeight="1">
      <c r="A54" s="26" t="s">
        <v>130</v>
      </c>
      <c r="D54" s="26" t="s">
        <v>505</v>
      </c>
      <c r="E54" s="26" t="s">
        <v>506</v>
      </c>
      <c r="F54" s="26" t="s">
        <v>562</v>
      </c>
      <c r="H54" s="27">
        <f>IF(AND(VLOOKUP(A54,MasterMaterials!A:J,10,FALSE)&lt;&gt;"",VLOOKUP(A54,MasterMaterials!A:J,10,FALSE)&lt;&gt;0),VLOOKUP(A54,MasterMaterials!A:J,10,FALSE),ROUND(I54*1.15/0.688,2))</f>
        <v>2.78</v>
      </c>
      <c r="I54" s="28">
        <f>VLOOKUP(A54,MasterMaterials!A:I,9,FALSE)</f>
        <v>2.42</v>
      </c>
      <c r="J54" s="26" t="s">
        <v>542</v>
      </c>
      <c r="M54" s="26" t="s">
        <v>563</v>
      </c>
    </row>
    <row r="55" ht="22.5" customHeight="1">
      <c r="A55" s="26" t="s">
        <v>132</v>
      </c>
      <c r="D55" s="26" t="s">
        <v>505</v>
      </c>
      <c r="E55" s="26" t="s">
        <v>506</v>
      </c>
      <c r="F55" s="26" t="s">
        <v>524</v>
      </c>
      <c r="H55" s="27">
        <f>IF(AND(VLOOKUP(A55,MasterMaterials!A:J,10,FALSE)&lt;&gt;"",VLOOKUP(A55,MasterMaterials!A:J,10,FALSE)&lt;&gt;0),VLOOKUP(A55,MasterMaterials!A:J,10,FALSE),ROUND(I55*1.15/0.688,2))</f>
        <v>67</v>
      </c>
      <c r="I55" s="28">
        <f>VLOOKUP(A55,MasterMaterials!A:I,9,FALSE)</f>
        <v>58</v>
      </c>
      <c r="J55" s="26" t="s">
        <v>564</v>
      </c>
      <c r="M55" s="26" t="s">
        <v>565</v>
      </c>
    </row>
    <row r="56" ht="22.5" customHeight="1">
      <c r="A56" s="26" t="s">
        <v>135</v>
      </c>
      <c r="D56" s="26" t="s">
        <v>505</v>
      </c>
      <c r="E56" s="26" t="s">
        <v>506</v>
      </c>
      <c r="F56" s="26" t="s">
        <v>566</v>
      </c>
      <c r="H56" s="27">
        <f>IF(AND(VLOOKUP(A56,MasterMaterials!A:J,10,FALSE)&lt;&gt;"",VLOOKUP(A56,MasterMaterials!A:J,10,FALSE)&lt;&gt;0),VLOOKUP(A56,MasterMaterials!A:J,10,FALSE),ROUND(I56*1.15/0.688,2))</f>
        <v>9.95</v>
      </c>
      <c r="I56" s="28">
        <f>VLOOKUP(A56,MasterMaterials!A:I,9,FALSE)</f>
        <v>2.47</v>
      </c>
      <c r="J56" s="26" t="s">
        <v>542</v>
      </c>
      <c r="M56" s="26" t="s">
        <v>567</v>
      </c>
    </row>
    <row r="57" ht="22.5" customHeight="1">
      <c r="A57" s="26" t="s">
        <v>137</v>
      </c>
      <c r="D57" s="26" t="s">
        <v>505</v>
      </c>
      <c r="E57" s="26" t="s">
        <v>506</v>
      </c>
      <c r="F57" s="26" t="s">
        <v>566</v>
      </c>
      <c r="H57" s="27">
        <f>IF(AND(VLOOKUP(A57,MasterMaterials!A:J,10,FALSE)&lt;&gt;"",VLOOKUP(A57,MasterMaterials!A:J,10,FALSE)&lt;&gt;0),VLOOKUP(A57,MasterMaterials!A:J,10,FALSE),ROUND(I57*1.15/0.688,2))</f>
        <v>59</v>
      </c>
      <c r="I57" s="28">
        <f>VLOOKUP(A57,MasterMaterials!A:I,9,FALSE)</f>
        <v>59</v>
      </c>
      <c r="J57" s="26" t="s">
        <v>542</v>
      </c>
      <c r="M57" s="26" t="s">
        <v>568</v>
      </c>
    </row>
    <row r="58" ht="22.5" customHeight="1">
      <c r="A58" s="26" t="s">
        <v>139</v>
      </c>
      <c r="D58" s="26" t="s">
        <v>505</v>
      </c>
      <c r="E58" s="26" t="s">
        <v>506</v>
      </c>
      <c r="F58" s="26" t="s">
        <v>566</v>
      </c>
      <c r="H58" s="27">
        <f>IF(AND(VLOOKUP(A58,MasterMaterials!A:J,10,FALSE)&lt;&gt;"",VLOOKUP(A58,MasterMaterials!A:J,10,FALSE)&lt;&gt;0),VLOOKUP(A58,MasterMaterials!A:J,10,FALSE),ROUND(I58*1.15/0.688,2))</f>
        <v>240</v>
      </c>
      <c r="I58" s="28">
        <f>VLOOKUP(A58,MasterMaterials!A:I,9,FALSE)</f>
        <v>181</v>
      </c>
      <c r="J58" s="26" t="s">
        <v>569</v>
      </c>
      <c r="M58" s="26" t="s">
        <v>570</v>
      </c>
    </row>
    <row r="59" ht="22.5" customHeight="1">
      <c r="A59" s="26" t="s">
        <v>141</v>
      </c>
      <c r="D59" s="26" t="s">
        <v>505</v>
      </c>
      <c r="E59" s="26" t="s">
        <v>506</v>
      </c>
      <c r="F59" s="26" t="s">
        <v>566</v>
      </c>
      <c r="H59" s="27">
        <f>IF(AND(VLOOKUP(A59,MasterMaterials!A:J,10,FALSE)&lt;&gt;"",VLOOKUP(A59,MasterMaterials!A:J,10,FALSE)&lt;&gt;0),VLOOKUP(A59,MasterMaterials!A:J,10,FALSE),ROUND(I59*1.15/0.688,2))</f>
        <v>11.7</v>
      </c>
      <c r="I59" s="28">
        <f>VLOOKUP(A59,MasterMaterials!A:I,9,FALSE)</f>
        <v>7</v>
      </c>
      <c r="J59" s="26" t="s">
        <v>569</v>
      </c>
      <c r="M59" s="26" t="s">
        <v>571</v>
      </c>
    </row>
    <row r="60" ht="22.5" customHeight="1">
      <c r="A60" s="26" t="s">
        <v>143</v>
      </c>
      <c r="D60" s="26" t="s">
        <v>505</v>
      </c>
      <c r="E60" s="26" t="s">
        <v>506</v>
      </c>
      <c r="F60" s="26" t="s">
        <v>507</v>
      </c>
      <c r="H60" s="27">
        <f>IF(AND(VLOOKUP(A60,MasterMaterials!A:J,10,FALSE)&lt;&gt;"",VLOOKUP(A60,MasterMaterials!A:J,10,FALSE)&lt;&gt;0),VLOOKUP(A60,MasterMaterials!A:J,10,FALSE),ROUND(I60*1.15/0.688,2))</f>
        <v>385.63</v>
      </c>
      <c r="I60" s="28">
        <f>VLOOKUP(A60,MasterMaterials!A:I,9,FALSE)</f>
        <v>180.29</v>
      </c>
      <c r="J60" s="26" t="s">
        <v>507</v>
      </c>
      <c r="M60" s="26" t="s">
        <v>572</v>
      </c>
    </row>
    <row r="61" ht="22.5" customHeight="1">
      <c r="A61" s="26" t="s">
        <v>145</v>
      </c>
      <c r="D61" s="26" t="s">
        <v>505</v>
      </c>
      <c r="E61" s="26" t="s">
        <v>506</v>
      </c>
      <c r="F61" s="26" t="s">
        <v>507</v>
      </c>
      <c r="H61" s="27">
        <f>IF(AND(VLOOKUP(A61,MasterMaterials!A:J,10,FALSE)&lt;&gt;"",VLOOKUP(A61,MasterMaterials!A:J,10,FALSE)&lt;&gt;0),VLOOKUP(A61,MasterMaterials!A:J,10,FALSE),ROUND(I61*1.15/0.688,2))</f>
        <v>292.02</v>
      </c>
      <c r="I61" s="28">
        <f>VLOOKUP(A61,MasterMaterials!A:I,9,FALSE)</f>
        <v>139.13</v>
      </c>
      <c r="J61" s="26" t="s">
        <v>507</v>
      </c>
      <c r="M61" s="26" t="s">
        <v>573</v>
      </c>
    </row>
    <row r="62" ht="22.5" customHeight="1">
      <c r="A62" s="26" t="s">
        <v>147</v>
      </c>
      <c r="D62" s="26" t="s">
        <v>505</v>
      </c>
      <c r="E62" s="26" t="s">
        <v>506</v>
      </c>
      <c r="F62" s="26" t="s">
        <v>507</v>
      </c>
      <c r="H62" s="27">
        <f>IF(AND(VLOOKUP(A62,MasterMaterials!A:J,10,FALSE)&lt;&gt;"",VLOOKUP(A62,MasterMaterials!A:J,10,FALSE)&lt;&gt;0),VLOOKUP(A62,MasterMaterials!A:J,10,FALSE),ROUND(I62*1.15/0.688,2))</f>
        <v>2174.7</v>
      </c>
      <c r="I62" s="28">
        <f>VLOOKUP(A62,MasterMaterials!A:I,9,FALSE)</f>
        <v>1087.03</v>
      </c>
      <c r="J62" s="26" t="s">
        <v>507</v>
      </c>
      <c r="M62" s="26" t="s">
        <v>574</v>
      </c>
    </row>
    <row r="63" ht="22.5" customHeight="1">
      <c r="A63" s="26" t="s">
        <v>149</v>
      </c>
      <c r="D63" s="26" t="s">
        <v>505</v>
      </c>
      <c r="E63" s="26" t="s">
        <v>506</v>
      </c>
      <c r="F63" s="26" t="s">
        <v>507</v>
      </c>
      <c r="H63" s="27">
        <f>IF(AND(VLOOKUP(A63,MasterMaterials!A:J,10,FALSE)&lt;&gt;"",VLOOKUP(A63,MasterMaterials!A:J,10,FALSE)&lt;&gt;0),VLOOKUP(A63,MasterMaterials!A:J,10,FALSE),ROUND(I63*1.15/0.688,2))</f>
        <v>254.23</v>
      </c>
      <c r="I63" s="28">
        <f>VLOOKUP(A63,MasterMaterials!A:I,9,FALSE)</f>
        <v>127.12</v>
      </c>
      <c r="J63" s="26" t="s">
        <v>507</v>
      </c>
      <c r="M63" s="26" t="s">
        <v>575</v>
      </c>
    </row>
    <row r="64" ht="22.5" customHeight="1">
      <c r="A64" s="26" t="s">
        <v>151</v>
      </c>
      <c r="D64" s="26" t="s">
        <v>505</v>
      </c>
      <c r="E64" s="26" t="s">
        <v>506</v>
      </c>
      <c r="F64" s="26" t="s">
        <v>507</v>
      </c>
      <c r="H64" s="27">
        <f>IF(AND(VLOOKUP(A64,MasterMaterials!A:J,10,FALSE)&lt;&gt;"",VLOOKUP(A64,MasterMaterials!A:J,10,FALSE)&lt;&gt;0),VLOOKUP(A64,MasterMaterials!A:J,10,FALSE),ROUND(I64*1.15/0.688,2))</f>
        <v>343.98</v>
      </c>
      <c r="I64" s="28">
        <f>VLOOKUP(A64,MasterMaterials!A:I,9,FALSE)</f>
        <v>171.99</v>
      </c>
      <c r="J64" s="26" t="s">
        <v>507</v>
      </c>
      <c r="M64" s="26" t="s">
        <v>576</v>
      </c>
    </row>
    <row r="65" ht="22.5" customHeight="1">
      <c r="A65" s="26" t="s">
        <v>153</v>
      </c>
      <c r="D65" s="26" t="s">
        <v>505</v>
      </c>
      <c r="E65" s="26" t="s">
        <v>506</v>
      </c>
      <c r="F65" s="26" t="s">
        <v>507</v>
      </c>
      <c r="H65" s="27">
        <f>IF(AND(VLOOKUP(A65,MasterMaterials!A:J,10,FALSE)&lt;&gt;"",VLOOKUP(A65,MasterMaterials!A:J,10,FALSE)&lt;&gt;0),VLOOKUP(A65,MasterMaterials!A:J,10,FALSE),ROUND(I65*1.15/0.688,2))</f>
        <v>0.32</v>
      </c>
      <c r="I65" s="28">
        <f>VLOOKUP(A65,MasterMaterials!A:I,9,FALSE)</f>
        <v>0.16</v>
      </c>
      <c r="J65" s="26" t="s">
        <v>507</v>
      </c>
      <c r="M65" s="26" t="s">
        <v>577</v>
      </c>
    </row>
    <row r="66" ht="22.5" customHeight="1">
      <c r="A66" s="26" t="s">
        <v>155</v>
      </c>
      <c r="D66" s="26" t="s">
        <v>505</v>
      </c>
      <c r="E66" s="26" t="s">
        <v>506</v>
      </c>
      <c r="F66" s="26" t="s">
        <v>524</v>
      </c>
      <c r="H66" s="27">
        <f>IF(AND(VLOOKUP(A66,MasterMaterials!A:J,10,FALSE)&lt;&gt;"",VLOOKUP(A66,MasterMaterials!A:J,10,FALSE)&lt;&gt;0),VLOOKUP(A66,MasterMaterials!A:J,10,FALSE),ROUND(I66*1.15/0.688,2))</f>
        <v>42</v>
      </c>
      <c r="I66" s="28">
        <f>VLOOKUP(A66,MasterMaterials!A:I,9,FALSE)</f>
        <v>23</v>
      </c>
      <c r="J66" s="26" t="s">
        <v>564</v>
      </c>
      <c r="M66" s="26" t="s">
        <v>578</v>
      </c>
    </row>
    <row r="67" ht="22.5" customHeight="1">
      <c r="A67" s="26" t="s">
        <v>157</v>
      </c>
      <c r="D67" s="26" t="s">
        <v>505</v>
      </c>
      <c r="E67" s="26" t="s">
        <v>506</v>
      </c>
      <c r="F67" s="26" t="s">
        <v>507</v>
      </c>
      <c r="H67" s="27">
        <f>IF(AND(VLOOKUP(A67,MasterMaterials!A:J,10,FALSE)&lt;&gt;"",VLOOKUP(A67,MasterMaterials!A:J,10,FALSE)&lt;&gt;0),VLOOKUP(A67,MasterMaterials!A:J,10,FALSE),ROUND(I67*1.15/0.688,2))</f>
        <v>61</v>
      </c>
      <c r="I67" s="28">
        <f>VLOOKUP(A67,MasterMaterials!A:I,9,FALSE)</f>
        <v>21.79</v>
      </c>
      <c r="J67" s="26" t="s">
        <v>507</v>
      </c>
      <c r="M67" s="26" t="s">
        <v>579</v>
      </c>
    </row>
    <row r="68" ht="22.5" customHeight="1">
      <c r="A68" s="26" t="s">
        <v>159</v>
      </c>
      <c r="D68" s="26" t="s">
        <v>505</v>
      </c>
      <c r="E68" s="26" t="s">
        <v>506</v>
      </c>
      <c r="F68" s="26" t="s">
        <v>534</v>
      </c>
      <c r="H68" s="27">
        <f>IF(AND(VLOOKUP(A68,MasterMaterials!A:J,10,FALSE)&lt;&gt;"",VLOOKUP(A68,MasterMaterials!A:J,10,FALSE)&lt;&gt;0),VLOOKUP(A68,MasterMaterials!A:J,10,FALSE),ROUND(I68*1.15/0.688,2))</f>
        <v>453.12</v>
      </c>
      <c r="I68" s="28">
        <f>VLOOKUP(A68,MasterMaterials!A:I,9,FALSE)</f>
        <v>275</v>
      </c>
      <c r="J68" s="26" t="s">
        <v>535</v>
      </c>
      <c r="M68" s="26" t="s">
        <v>580</v>
      </c>
    </row>
    <row r="69" ht="22.5" customHeight="1">
      <c r="A69" s="26" t="s">
        <v>162</v>
      </c>
      <c r="D69" s="26" t="s">
        <v>505</v>
      </c>
      <c r="E69" s="26" t="s">
        <v>506</v>
      </c>
      <c r="F69" s="26" t="s">
        <v>534</v>
      </c>
      <c r="H69" s="27">
        <f>IF(AND(VLOOKUP(A69,MasterMaterials!A:J,10,FALSE)&lt;&gt;"",VLOOKUP(A69,MasterMaterials!A:J,10,FALSE)&lt;&gt;0),VLOOKUP(A69,MasterMaterials!A:J,10,FALSE),ROUND(I69*1.15/0.688,2))</f>
        <v>390</v>
      </c>
      <c r="I69" s="28">
        <f>VLOOKUP(A69,MasterMaterials!A:I,9,FALSE)</f>
        <v>242</v>
      </c>
      <c r="J69" s="26" t="s">
        <v>535</v>
      </c>
      <c r="M69" s="26" t="s">
        <v>581</v>
      </c>
    </row>
    <row r="70" ht="22.5" customHeight="1">
      <c r="A70" s="26" t="s">
        <v>165</v>
      </c>
      <c r="D70" s="26" t="s">
        <v>505</v>
      </c>
      <c r="E70" s="26" t="s">
        <v>506</v>
      </c>
      <c r="F70" s="26" t="s">
        <v>534</v>
      </c>
      <c r="H70" s="27">
        <f>IF(AND(VLOOKUP(A70,MasterMaterials!A:J,10,FALSE)&lt;&gt;"",VLOOKUP(A70,MasterMaterials!A:J,10,FALSE)&lt;&gt;0),VLOOKUP(A70,MasterMaterials!A:J,10,FALSE),ROUND(I70*1.15/0.688,2))</f>
        <v>495.6</v>
      </c>
      <c r="I70" s="28">
        <f>VLOOKUP(A70,MasterMaterials!A:I,9,FALSE)</f>
        <v>325</v>
      </c>
      <c r="J70" s="26" t="s">
        <v>535</v>
      </c>
      <c r="M70" s="26" t="s">
        <v>582</v>
      </c>
    </row>
    <row r="71" ht="22.5" customHeight="1">
      <c r="A71" s="26" t="s">
        <v>168</v>
      </c>
      <c r="D71" s="26" t="s">
        <v>505</v>
      </c>
      <c r="E71" s="26" t="s">
        <v>506</v>
      </c>
      <c r="F71" s="26" t="s">
        <v>534</v>
      </c>
      <c r="H71" s="27">
        <f>IF(AND(VLOOKUP(A71,MasterMaterials!A:J,10,FALSE)&lt;&gt;"",VLOOKUP(A71,MasterMaterials!A:J,10,FALSE)&lt;&gt;0),VLOOKUP(A71,MasterMaterials!A:J,10,FALSE),ROUND(I71*1.15/0.688,2))</f>
        <v>531</v>
      </c>
      <c r="I71" s="28">
        <f>VLOOKUP(A71,MasterMaterials!A:I,9,FALSE)</f>
        <v>330</v>
      </c>
      <c r="J71" s="26" t="s">
        <v>535</v>
      </c>
      <c r="M71" s="26" t="s">
        <v>583</v>
      </c>
    </row>
    <row r="72" ht="22.5" customHeight="1">
      <c r="A72" s="26" t="s">
        <v>171</v>
      </c>
      <c r="D72" s="26" t="s">
        <v>505</v>
      </c>
      <c r="E72" s="26" t="s">
        <v>506</v>
      </c>
      <c r="F72" s="26" t="s">
        <v>534</v>
      </c>
      <c r="H72" s="27">
        <f>IF(AND(VLOOKUP(A72,MasterMaterials!A:J,10,FALSE)&lt;&gt;"",VLOOKUP(A72,MasterMaterials!A:J,10,FALSE)&lt;&gt;0),VLOOKUP(A72,MasterMaterials!A:J,10,FALSE),ROUND(I72*1.15/0.688,2))</f>
        <v>460</v>
      </c>
      <c r="I72" s="28">
        <f>VLOOKUP(A72,MasterMaterials!A:I,9,FALSE)</f>
        <v>300</v>
      </c>
      <c r="J72" s="26" t="s">
        <v>535</v>
      </c>
      <c r="M72" s="26" t="s">
        <v>584</v>
      </c>
    </row>
    <row r="73" ht="22.5" customHeight="1">
      <c r="A73" s="26" t="s">
        <v>174</v>
      </c>
      <c r="D73" s="26" t="s">
        <v>505</v>
      </c>
      <c r="E73" s="26" t="s">
        <v>506</v>
      </c>
      <c r="F73" s="26" t="s">
        <v>534</v>
      </c>
      <c r="H73" s="27">
        <f>IF(AND(VLOOKUP(A73,MasterMaterials!A:J,10,FALSE)&lt;&gt;"",VLOOKUP(A73,MasterMaterials!A:J,10,FALSE)&lt;&gt;0),VLOOKUP(A73,MasterMaterials!A:J,10,FALSE),ROUND(I73*1.15/0.688,2))</f>
        <v>575</v>
      </c>
      <c r="I73" s="28">
        <f>VLOOKUP(A73,MasterMaterials!A:I,9,FALSE)</f>
        <v>360</v>
      </c>
      <c r="J73" s="26" t="s">
        <v>535</v>
      </c>
      <c r="M73" s="26" t="s">
        <v>585</v>
      </c>
    </row>
    <row r="74" ht="22.5" customHeight="1">
      <c r="A74" s="26" t="s">
        <v>177</v>
      </c>
      <c r="D74" s="26" t="s">
        <v>505</v>
      </c>
      <c r="E74" s="26" t="s">
        <v>506</v>
      </c>
      <c r="F74" s="26" t="s">
        <v>507</v>
      </c>
      <c r="H74" s="27">
        <f>IF(AND(VLOOKUP(A74,MasterMaterials!A:J,10,FALSE)&lt;&gt;"",VLOOKUP(A74,MasterMaterials!A:J,10,FALSE)&lt;&gt;0),VLOOKUP(A74,MasterMaterials!A:J,10,FALSE),ROUND(I74*1.15/0.688,2))</f>
        <v>280.83</v>
      </c>
      <c r="I74" s="28">
        <f>VLOOKUP(A74,MasterMaterials!A:I,9,FALSE)</f>
        <v>133.8</v>
      </c>
      <c r="J74" s="26" t="s">
        <v>507</v>
      </c>
      <c r="M74" s="26" t="s">
        <v>586</v>
      </c>
    </row>
    <row r="75" ht="22.5" customHeight="1">
      <c r="A75" s="26" t="s">
        <v>179</v>
      </c>
      <c r="D75" s="26" t="s">
        <v>505</v>
      </c>
      <c r="E75" s="26" t="s">
        <v>506</v>
      </c>
      <c r="F75" s="26" t="s">
        <v>524</v>
      </c>
      <c r="H75" s="27">
        <f>IF(AND(VLOOKUP(A75,MasterMaterials!A:J,10,FALSE)&lt;&gt;"",VLOOKUP(A75,MasterMaterials!A:J,10,FALSE)&lt;&gt;0),VLOOKUP(A75,MasterMaterials!A:J,10,FALSE),ROUND(I75*1.15/0.688,2))</f>
        <v>160.47</v>
      </c>
      <c r="I75" s="28">
        <f>VLOOKUP(A75,MasterMaterials!A:I,9,FALSE)</f>
        <v>96</v>
      </c>
      <c r="J75" s="26" t="s">
        <v>564</v>
      </c>
      <c r="M75" s="26" t="s">
        <v>587</v>
      </c>
    </row>
    <row r="76" ht="22.5" customHeight="1">
      <c r="A76" s="26" t="s">
        <v>181</v>
      </c>
      <c r="D76" s="26" t="s">
        <v>505</v>
      </c>
      <c r="E76" s="26" t="s">
        <v>506</v>
      </c>
      <c r="F76" s="26" t="s">
        <v>562</v>
      </c>
      <c r="H76" s="27">
        <f>IF(AND(VLOOKUP(A76,MasterMaterials!A:J,10,FALSE)&lt;&gt;"",VLOOKUP(A76,MasterMaterials!A:J,10,FALSE)&lt;&gt;0),VLOOKUP(A76,MasterMaterials!A:J,10,FALSE),ROUND(I76*1.15/0.688,2))</f>
        <v>15</v>
      </c>
      <c r="I76" s="28">
        <f>VLOOKUP(A76,MasterMaterials!A:I,9,FALSE)</f>
        <v>15</v>
      </c>
      <c r="J76" s="26" t="s">
        <v>588</v>
      </c>
      <c r="M76" s="26" t="s">
        <v>181</v>
      </c>
    </row>
    <row r="77" ht="22.5" customHeight="1">
      <c r="A77" s="26" t="s">
        <v>183</v>
      </c>
      <c r="D77" s="26" t="s">
        <v>505</v>
      </c>
      <c r="E77" s="26" t="s">
        <v>506</v>
      </c>
      <c r="F77" s="26" t="s">
        <v>562</v>
      </c>
      <c r="H77" s="27">
        <f>IF(AND(VLOOKUP(A77,MasterMaterials!A:J,10,FALSE)&lt;&gt;"",VLOOKUP(A77,MasterMaterials!A:J,10,FALSE)&lt;&gt;0),VLOOKUP(A77,MasterMaterials!A:J,10,FALSE),ROUND(I77*1.15/0.688,2))</f>
        <v>10</v>
      </c>
      <c r="I77" s="28">
        <f>VLOOKUP(A77,MasterMaterials!A:I,9,FALSE)</f>
        <v>10</v>
      </c>
      <c r="J77" s="26" t="s">
        <v>588</v>
      </c>
      <c r="M77" s="26" t="s">
        <v>183</v>
      </c>
    </row>
    <row r="78" ht="22.5" customHeight="1">
      <c r="A78" s="26" t="s">
        <v>185</v>
      </c>
      <c r="D78" s="26" t="s">
        <v>505</v>
      </c>
      <c r="E78" s="26" t="s">
        <v>506</v>
      </c>
      <c r="F78" s="26" t="s">
        <v>589</v>
      </c>
      <c r="H78" s="27">
        <f>IF(AND(VLOOKUP(A78,MasterMaterials!A:J,10,FALSE)&lt;&gt;"",VLOOKUP(A78,MasterMaterials!A:J,10,FALSE)&lt;&gt;0),VLOOKUP(A78,MasterMaterials!A:J,10,FALSE),ROUND(I78*1.15/0.688,2))</f>
        <v>780</v>
      </c>
      <c r="I78" s="28">
        <f>VLOOKUP(A78,MasterMaterials!A:I,9,FALSE)</f>
        <v>650</v>
      </c>
      <c r="J78" s="26" t="s">
        <v>590</v>
      </c>
      <c r="M78" s="26" t="s">
        <v>591</v>
      </c>
    </row>
    <row r="79" ht="22.5" customHeight="1">
      <c r="A79" s="26" t="s">
        <v>188</v>
      </c>
      <c r="D79" s="26" t="s">
        <v>505</v>
      </c>
      <c r="E79" s="26" t="s">
        <v>506</v>
      </c>
      <c r="F79" s="26" t="s">
        <v>589</v>
      </c>
      <c r="H79" s="27">
        <f>IF(AND(VLOOKUP(A79,MasterMaterials!A:J,10,FALSE)&lt;&gt;"",VLOOKUP(A79,MasterMaterials!A:J,10,FALSE)&lt;&gt;0),VLOOKUP(A79,MasterMaterials!A:J,10,FALSE),ROUND(I79*1.15/0.688,2))</f>
        <v>300</v>
      </c>
      <c r="I79" s="28">
        <f>VLOOKUP(A79,MasterMaterials!A:I,9,FALSE)</f>
        <v>250</v>
      </c>
      <c r="J79" s="26" t="s">
        <v>590</v>
      </c>
      <c r="M79" s="26" t="s">
        <v>592</v>
      </c>
    </row>
    <row r="80" ht="22.5" customHeight="1">
      <c r="A80" s="29" t="s">
        <v>191</v>
      </c>
      <c r="B80" s="30"/>
      <c r="C80" s="30"/>
      <c r="D80" s="31" t="s">
        <v>505</v>
      </c>
      <c r="E80" s="31" t="s">
        <v>506</v>
      </c>
      <c r="F80" s="31" t="s">
        <v>589</v>
      </c>
      <c r="G80" s="30"/>
      <c r="H80" s="17">
        <f>IF(AND(VLOOKUP(A80,MasterMaterials!A:J,10,FALSE)&lt;&gt;"",VLOOKUP(A80,MasterMaterials!A:J,10,FALSE)&lt;&gt;0),VLOOKUP(A80,MasterMaterials!A:J,10,FALSE),ROUND(I80*1.15/0.688,2))</f>
        <v>250</v>
      </c>
      <c r="I80" s="32" t="str">
        <f>VLOOKUP(A80,MasterMaterials!A:I,9,FALSE)</f>
        <v/>
      </c>
      <c r="J80" s="31" t="s">
        <v>590</v>
      </c>
      <c r="K80" s="30"/>
      <c r="L80" s="30"/>
      <c r="M80" s="33" t="s">
        <v>191</v>
      </c>
      <c r="N80" s="30"/>
      <c r="O80" s="30"/>
      <c r="P80" s="34"/>
    </row>
    <row r="81" ht="22.5" customHeight="1">
      <c r="A81" s="35" t="s">
        <v>192</v>
      </c>
      <c r="B81" s="36"/>
      <c r="C81" s="36"/>
      <c r="D81" s="37" t="s">
        <v>505</v>
      </c>
      <c r="E81" s="37" t="s">
        <v>506</v>
      </c>
      <c r="F81" s="37" t="s">
        <v>589</v>
      </c>
      <c r="G81" s="36"/>
      <c r="H81" s="18">
        <f>IF(AND(VLOOKUP(A81,MasterMaterials!A:J,10,FALSE)&lt;&gt;"",VLOOKUP(A81,MasterMaterials!A:J,10,FALSE)&lt;&gt;0),VLOOKUP(A81,MasterMaterials!A:J,10,FALSE),ROUND(I81*1.15/0.688,2))</f>
        <v>100</v>
      </c>
      <c r="I81" s="38" t="str">
        <f>VLOOKUP(A81,MasterMaterials!A:I,9,FALSE)</f>
        <v/>
      </c>
      <c r="J81" s="37" t="s">
        <v>590</v>
      </c>
      <c r="K81" s="36"/>
      <c r="L81" s="36"/>
      <c r="M81" s="39" t="s">
        <v>192</v>
      </c>
      <c r="N81" s="36"/>
      <c r="O81" s="36"/>
      <c r="P81" s="40"/>
    </row>
    <row r="82" ht="22.5" customHeight="1">
      <c r="A82" s="26" t="s">
        <v>193</v>
      </c>
      <c r="D82" s="26" t="s">
        <v>505</v>
      </c>
      <c r="E82" s="26" t="s">
        <v>506</v>
      </c>
      <c r="F82" s="26" t="s">
        <v>534</v>
      </c>
      <c r="H82" s="27">
        <f>IF(AND(VLOOKUP(A82,MasterMaterials!A:J,10,FALSE)&lt;&gt;"",VLOOKUP(A82,MasterMaterials!A:J,10,FALSE)&lt;&gt;0),VLOOKUP(A82,MasterMaterials!A:J,10,FALSE),ROUND(I82*1.15/0.688,2))</f>
        <v>1379</v>
      </c>
      <c r="I82" s="28">
        <f>VLOOKUP(A82,MasterMaterials!A:I,9,FALSE)</f>
        <v>825</v>
      </c>
      <c r="J82" s="26" t="s">
        <v>535</v>
      </c>
      <c r="M82" s="26" t="s">
        <v>593</v>
      </c>
    </row>
    <row r="83" ht="22.5" customHeight="1">
      <c r="A83" s="26" t="s">
        <v>195</v>
      </c>
      <c r="D83" s="26" t="s">
        <v>505</v>
      </c>
      <c r="E83" s="26" t="s">
        <v>506</v>
      </c>
      <c r="F83" s="26" t="s">
        <v>534</v>
      </c>
      <c r="H83" s="27">
        <f>IF(AND(VLOOKUP(A83,MasterMaterials!A:J,10,FALSE)&lt;&gt;"",VLOOKUP(A83,MasterMaterials!A:J,10,FALSE)&lt;&gt;0),VLOOKUP(A83,MasterMaterials!A:J,10,FALSE),ROUND(I83*1.15/0.688,2))</f>
        <v>576.67</v>
      </c>
      <c r="I83" s="28">
        <f>VLOOKUP(A83,MasterMaterials!A:I,9,FALSE)</f>
        <v>345</v>
      </c>
      <c r="J83" s="26" t="s">
        <v>535</v>
      </c>
      <c r="M83" s="26" t="s">
        <v>594</v>
      </c>
    </row>
    <row r="84" ht="22.5" customHeight="1">
      <c r="A84" s="26" t="s">
        <v>197</v>
      </c>
      <c r="D84" s="26" t="s">
        <v>505</v>
      </c>
      <c r="E84" s="26" t="s">
        <v>506</v>
      </c>
      <c r="F84" s="26" t="s">
        <v>534</v>
      </c>
      <c r="H84" s="27">
        <f>IF(AND(VLOOKUP(A84,MasterMaterials!A:J,10,FALSE)&lt;&gt;"",VLOOKUP(A84,MasterMaterials!A:J,10,FALSE)&lt;&gt;0),VLOOKUP(A84,MasterMaterials!A:J,10,FALSE),ROUND(I84*1.15/0.688,2))</f>
        <v>626.82</v>
      </c>
      <c r="I84" s="28">
        <f>VLOOKUP(A84,MasterMaterials!A:I,9,FALSE)</f>
        <v>375</v>
      </c>
      <c r="J84" s="26" t="s">
        <v>535</v>
      </c>
      <c r="M84" s="26" t="s">
        <v>595</v>
      </c>
    </row>
    <row r="85" ht="22.5" customHeight="1">
      <c r="A85" s="26" t="s">
        <v>199</v>
      </c>
      <c r="D85" s="26" t="s">
        <v>505</v>
      </c>
      <c r="E85" s="26" t="s">
        <v>506</v>
      </c>
      <c r="F85" s="26" t="s">
        <v>534</v>
      </c>
      <c r="H85" s="27">
        <f>IF(AND(VLOOKUP(A85,MasterMaterials!A:J,10,FALSE)&lt;&gt;"",VLOOKUP(A85,MasterMaterials!A:J,10,FALSE)&lt;&gt;0),VLOOKUP(A85,MasterMaterials!A:J,10,FALSE),ROUND(I85*1.15/0.688,2))</f>
        <v>743.82</v>
      </c>
      <c r="I85" s="28">
        <f>VLOOKUP(A85,MasterMaterials!A:I,9,FALSE)</f>
        <v>445</v>
      </c>
      <c r="J85" s="26" t="s">
        <v>535</v>
      </c>
      <c r="M85" s="26" t="s">
        <v>596</v>
      </c>
    </row>
    <row r="86" ht="22.5" customHeight="1">
      <c r="A86" s="26" t="s">
        <v>201</v>
      </c>
      <c r="D86" s="26" t="s">
        <v>505</v>
      </c>
      <c r="E86" s="26" t="s">
        <v>506</v>
      </c>
      <c r="F86" s="26" t="s">
        <v>534</v>
      </c>
      <c r="H86" s="27">
        <f>IF(AND(VLOOKUP(A86,MasterMaterials!A:J,10,FALSE)&lt;&gt;"",VLOOKUP(A86,MasterMaterials!A:J,10,FALSE)&lt;&gt;0),VLOOKUP(A86,MasterMaterials!A:J,10,FALSE),ROUND(I86*1.15/0.688,2))</f>
        <v>1128.27</v>
      </c>
      <c r="I86" s="28">
        <f>VLOOKUP(A86,MasterMaterials!A:I,9,FALSE)</f>
        <v>675</v>
      </c>
      <c r="J86" s="26" t="s">
        <v>535</v>
      </c>
      <c r="M86" s="26" t="s">
        <v>597</v>
      </c>
    </row>
    <row r="87" ht="22.5" customHeight="1">
      <c r="A87" s="26" t="s">
        <v>203</v>
      </c>
      <c r="D87" s="26" t="s">
        <v>505</v>
      </c>
      <c r="E87" s="26" t="s">
        <v>506</v>
      </c>
      <c r="F87" s="26" t="s">
        <v>507</v>
      </c>
      <c r="H87" s="27">
        <f>IF(AND(VLOOKUP(A87,MasterMaterials!A:J,10,FALSE)&lt;&gt;"",VLOOKUP(A87,MasterMaterials!A:J,10,FALSE)&lt;&gt;0),VLOOKUP(A87,MasterMaterials!A:J,10,FALSE),ROUND(I87*1.15/0.688,2))</f>
        <v>0.61</v>
      </c>
      <c r="I87" s="28">
        <f>VLOOKUP(A87,MasterMaterials!A:I,9,FALSE)</f>
        <v>0.3</v>
      </c>
      <c r="J87" s="26" t="s">
        <v>507</v>
      </c>
      <c r="M87" s="26" t="s">
        <v>598</v>
      </c>
    </row>
    <row r="88" ht="22.5" customHeight="1">
      <c r="A88" s="26" t="s">
        <v>205</v>
      </c>
      <c r="D88" s="26" t="s">
        <v>505</v>
      </c>
      <c r="E88" s="26" t="s">
        <v>506</v>
      </c>
      <c r="F88" s="26" t="s">
        <v>562</v>
      </c>
      <c r="H88" s="26">
        <v>250.0</v>
      </c>
      <c r="I88" s="26">
        <v>250.0</v>
      </c>
      <c r="J88" s="26" t="s">
        <v>599</v>
      </c>
      <c r="M88" s="26" t="s">
        <v>207</v>
      </c>
    </row>
    <row r="89" ht="22.5" customHeight="1">
      <c r="A89" s="26" t="s">
        <v>208</v>
      </c>
      <c r="D89" s="26" t="s">
        <v>505</v>
      </c>
      <c r="E89" s="26" t="s">
        <v>506</v>
      </c>
      <c r="F89" s="26" t="s">
        <v>562</v>
      </c>
      <c r="H89" s="27">
        <f>IF(AND(VLOOKUP(A89,MasterMaterials!A:J,10,FALSE)&lt;&gt;"",VLOOKUP(A89,MasterMaterials!A:J,10,FALSE)&lt;&gt;0),VLOOKUP(A89,MasterMaterials!A:J,10,FALSE),ROUND(I89*1.15/0.688,2))</f>
        <v>55</v>
      </c>
      <c r="I89" s="28">
        <f>VLOOKUP(A89,MasterMaterials!A:I,9,FALSE)</f>
        <v>35</v>
      </c>
      <c r="J89" s="26" t="s">
        <v>599</v>
      </c>
      <c r="M89" s="26" t="s">
        <v>210</v>
      </c>
    </row>
    <row r="90" ht="22.5" customHeight="1">
      <c r="A90" s="26" t="s">
        <v>211</v>
      </c>
      <c r="D90" s="26" t="s">
        <v>505</v>
      </c>
      <c r="E90" s="26" t="s">
        <v>506</v>
      </c>
      <c r="F90" s="26" t="s">
        <v>524</v>
      </c>
      <c r="H90" s="27">
        <f>IF(AND(VLOOKUP(A90,MasterMaterials!A:J,10,FALSE)&lt;&gt;"",VLOOKUP(A90,MasterMaterials!A:J,10,FALSE)&lt;&gt;0),VLOOKUP(A90,MasterMaterials!A:J,10,FALSE),ROUND(I90*1.15/0.688,2))</f>
        <v>4.69</v>
      </c>
      <c r="I90" s="28">
        <f>VLOOKUP(A90,MasterMaterials!A:I,9,FALSE)</f>
        <v>2.09</v>
      </c>
      <c r="J90" s="26" t="s">
        <v>600</v>
      </c>
      <c r="M90" s="26" t="s">
        <v>211</v>
      </c>
    </row>
    <row r="91" ht="22.5" customHeight="1">
      <c r="A91" s="26" t="s">
        <v>213</v>
      </c>
      <c r="D91" s="26" t="s">
        <v>505</v>
      </c>
      <c r="E91" s="26" t="s">
        <v>506</v>
      </c>
      <c r="F91" s="26" t="s">
        <v>524</v>
      </c>
      <c r="H91" s="27">
        <f>IF(AND(VLOOKUP(A91,MasterMaterials!A:J,10,FALSE)&lt;&gt;"",VLOOKUP(A91,MasterMaterials!A:J,10,FALSE)&lt;&gt;0),VLOOKUP(A91,MasterMaterials!A:J,10,FALSE),ROUND(I91*1.15/0.688,2))</f>
        <v>20.06</v>
      </c>
      <c r="I91" s="28">
        <f>VLOOKUP(A91,MasterMaterials!A:I,9,FALSE)</f>
        <v>12</v>
      </c>
      <c r="J91" s="26" t="s">
        <v>600</v>
      </c>
      <c r="M91" s="26" t="s">
        <v>213</v>
      </c>
    </row>
    <row r="92" ht="22.5" customHeight="1">
      <c r="A92" s="26" t="s">
        <v>216</v>
      </c>
      <c r="D92" s="26" t="s">
        <v>505</v>
      </c>
      <c r="E92" s="26" t="s">
        <v>506</v>
      </c>
      <c r="F92" s="26" t="s">
        <v>524</v>
      </c>
      <c r="H92" s="27">
        <f>IF(AND(VLOOKUP(A92,MasterMaterials!A:J,10,FALSE)&lt;&gt;"",VLOOKUP(A92,MasterMaterials!A:J,10,FALSE)&lt;&gt;0),VLOOKUP(A92,MasterMaterials!A:J,10,FALSE),ROUND(I92*1.15/0.688,2))</f>
        <v>21</v>
      </c>
      <c r="I92" s="28">
        <f>VLOOKUP(A92,MasterMaterials!A:I,9,FALSE)</f>
        <v>14.75</v>
      </c>
      <c r="J92" s="26" t="s">
        <v>600</v>
      </c>
      <c r="M92" s="26" t="s">
        <v>601</v>
      </c>
    </row>
    <row r="93" ht="22.5" customHeight="1">
      <c r="A93" s="26" t="s">
        <v>218</v>
      </c>
      <c r="D93" s="26" t="s">
        <v>505</v>
      </c>
      <c r="E93" s="26" t="s">
        <v>506</v>
      </c>
      <c r="F93" s="26" t="s">
        <v>524</v>
      </c>
      <c r="H93" s="27">
        <f>IF(AND(VLOOKUP(A93,MasterMaterials!A:J,10,FALSE)&lt;&gt;"",VLOOKUP(A93,MasterMaterials!A:J,10,FALSE)&lt;&gt;0),VLOOKUP(A93,MasterMaterials!A:J,10,FALSE),ROUND(I93*1.15/0.688,2))</f>
        <v>8.42</v>
      </c>
      <c r="I93" s="28">
        <f>VLOOKUP(A93,MasterMaterials!A:I,9,FALSE)</f>
        <v>5.04</v>
      </c>
      <c r="J93" s="26" t="s">
        <v>600</v>
      </c>
      <c r="M93" s="26" t="s">
        <v>602</v>
      </c>
    </row>
    <row r="94" ht="22.5" customHeight="1">
      <c r="A94" s="26" t="s">
        <v>220</v>
      </c>
      <c r="D94" s="26" t="s">
        <v>505</v>
      </c>
      <c r="E94" s="26" t="s">
        <v>506</v>
      </c>
      <c r="F94" s="26" t="s">
        <v>524</v>
      </c>
      <c r="H94" s="27">
        <f>IF(AND(VLOOKUP(A94,MasterMaterials!A:J,10,FALSE)&lt;&gt;"",VLOOKUP(A94,MasterMaterials!A:J,10,FALSE)&lt;&gt;0),VLOOKUP(A94,MasterMaterials!A:J,10,FALSE),ROUND(I94*1.15/0.688,2))</f>
        <v>6.8</v>
      </c>
      <c r="I94" s="28">
        <f>VLOOKUP(A94,MasterMaterials!A:I,9,FALSE)</f>
        <v>4.07</v>
      </c>
      <c r="J94" s="26" t="s">
        <v>600</v>
      </c>
      <c r="M94" s="26" t="s">
        <v>220</v>
      </c>
    </row>
    <row r="95" ht="22.5" customHeight="1">
      <c r="A95" s="26" t="s">
        <v>222</v>
      </c>
      <c r="D95" s="26" t="s">
        <v>505</v>
      </c>
      <c r="E95" s="26" t="s">
        <v>506</v>
      </c>
      <c r="F95" s="26" t="s">
        <v>566</v>
      </c>
      <c r="H95" s="27">
        <f>IF(AND(VLOOKUP(A95,MasterMaterials!A:J,10,FALSE)&lt;&gt;"",VLOOKUP(A95,MasterMaterials!A:J,10,FALSE)&lt;&gt;0),VLOOKUP(A95,MasterMaterials!A:J,10,FALSE),ROUND(I95*1.15/0.688,2))</f>
        <v>0.37</v>
      </c>
      <c r="I95" s="28">
        <f>VLOOKUP(A95,MasterMaterials!A:I,9,FALSE)</f>
        <v>0.33</v>
      </c>
      <c r="J95" s="26" t="s">
        <v>603</v>
      </c>
      <c r="M95" s="26" t="s">
        <v>222</v>
      </c>
    </row>
    <row r="96" ht="22.5" customHeight="1">
      <c r="A96" s="26" t="s">
        <v>224</v>
      </c>
      <c r="D96" s="26" t="s">
        <v>505</v>
      </c>
      <c r="E96" s="26" t="s">
        <v>506</v>
      </c>
      <c r="F96" s="26" t="s">
        <v>562</v>
      </c>
      <c r="H96" s="27">
        <f>IF(AND(VLOOKUP(A96,MasterMaterials!A:J,10,FALSE)&lt;&gt;"",VLOOKUP(A96,MasterMaterials!A:J,10,FALSE)&lt;&gt;0),VLOOKUP(A96,MasterMaterials!A:J,10,FALSE),ROUND(I96*1.15/0.688,2))</f>
        <v>55</v>
      </c>
      <c r="I96" s="28">
        <f>VLOOKUP(A96,MasterMaterials!A:I,9,FALSE)</f>
        <v>34.82</v>
      </c>
      <c r="J96" s="26" t="s">
        <v>604</v>
      </c>
      <c r="M96" s="26" t="s">
        <v>224</v>
      </c>
    </row>
    <row r="97" ht="22.5" customHeight="1">
      <c r="A97" s="26" t="s">
        <v>226</v>
      </c>
      <c r="D97" s="26" t="s">
        <v>505</v>
      </c>
      <c r="E97" s="26" t="s">
        <v>506</v>
      </c>
      <c r="F97" s="26" t="s">
        <v>562</v>
      </c>
      <c r="H97" s="27">
        <f>IF(AND(VLOOKUP(A97,MasterMaterials!A:J,10,FALSE)&lt;&gt;"",VLOOKUP(A97,MasterMaterials!A:J,10,FALSE)&lt;&gt;0),VLOOKUP(A97,MasterMaterials!A:J,10,FALSE),ROUND(I97*1.15/0.688,2))</f>
        <v>7</v>
      </c>
      <c r="I97" s="28">
        <f>VLOOKUP(A97,MasterMaterials!A:I,9,FALSE)</f>
        <v>7</v>
      </c>
      <c r="J97" s="26" t="s">
        <v>604</v>
      </c>
      <c r="M97" s="26" t="s">
        <v>605</v>
      </c>
    </row>
    <row r="98" ht="22.5" customHeight="1">
      <c r="A98" s="26" t="s">
        <v>228</v>
      </c>
      <c r="D98" s="26" t="s">
        <v>505</v>
      </c>
      <c r="E98" s="26" t="s">
        <v>506</v>
      </c>
      <c r="F98" s="26" t="s">
        <v>562</v>
      </c>
      <c r="H98" s="27">
        <f>IF(AND(VLOOKUP(A98,MasterMaterials!A:J,10,FALSE)&lt;&gt;"",VLOOKUP(A98,MasterMaterials!A:J,10,FALSE)&lt;&gt;0),VLOOKUP(A98,MasterMaterials!A:J,10,FALSE),ROUND(I98*1.15/0.688,2))</f>
        <v>1.75</v>
      </c>
      <c r="I98" s="28">
        <f>VLOOKUP(A98,MasterMaterials!A:I,9,FALSE)</f>
        <v>1.75</v>
      </c>
      <c r="J98" s="26" t="s">
        <v>604</v>
      </c>
      <c r="M98" s="26" t="s">
        <v>606</v>
      </c>
    </row>
    <row r="99" ht="22.5" customHeight="1">
      <c r="A99" s="26" t="s">
        <v>230</v>
      </c>
      <c r="D99" s="26" t="s">
        <v>505</v>
      </c>
      <c r="E99" s="26" t="s">
        <v>506</v>
      </c>
      <c r="F99" s="26" t="s">
        <v>566</v>
      </c>
      <c r="H99" s="27">
        <f>IF(AND(VLOOKUP(A99,MasterMaterials!A:J,10,FALSE)&lt;&gt;"",VLOOKUP(A99,MasterMaterials!A:J,10,FALSE)&lt;&gt;0),VLOOKUP(A99,MasterMaterials!A:J,10,FALSE),ROUND(I99*1.15/0.688,2))</f>
        <v>0.45</v>
      </c>
      <c r="I99" s="28">
        <f>VLOOKUP(A99,MasterMaterials!A:I,9,FALSE)</f>
        <v>0.32</v>
      </c>
      <c r="J99" s="26" t="s">
        <v>525</v>
      </c>
      <c r="M99" s="26" t="s">
        <v>230</v>
      </c>
    </row>
    <row r="100" ht="22.5" customHeight="1">
      <c r="A100" s="26" t="s">
        <v>232</v>
      </c>
      <c r="D100" s="26" t="s">
        <v>505</v>
      </c>
      <c r="E100" s="26" t="s">
        <v>506</v>
      </c>
      <c r="F100" s="26" t="s">
        <v>524</v>
      </c>
      <c r="H100" s="27">
        <f>IF(AND(VLOOKUP(A100,MasterMaterials!A:J,10,FALSE)&lt;&gt;"",VLOOKUP(A100,MasterMaterials!A:J,10,FALSE)&lt;&gt;0),VLOOKUP(A100,MasterMaterials!A:J,10,FALSE),ROUND(I100*1.15/0.688,2))</f>
        <v>20.89</v>
      </c>
      <c r="I100" s="28">
        <f>VLOOKUP(A100,MasterMaterials!A:I,9,FALSE)</f>
        <v>12.5</v>
      </c>
      <c r="J100" s="26" t="s">
        <v>553</v>
      </c>
      <c r="M100" s="26" t="s">
        <v>232</v>
      </c>
    </row>
    <row r="101" ht="22.5" customHeight="1">
      <c r="A101" s="26" t="s">
        <v>234</v>
      </c>
      <c r="D101" s="26" t="s">
        <v>505</v>
      </c>
      <c r="E101" s="26" t="s">
        <v>506</v>
      </c>
      <c r="F101" s="26" t="s">
        <v>524</v>
      </c>
      <c r="H101" s="27">
        <f>IF(AND(VLOOKUP(A101,MasterMaterials!A:J,10,FALSE)&lt;&gt;"",VLOOKUP(A101,MasterMaterials!A:J,10,FALSE)&lt;&gt;0),VLOOKUP(A101,MasterMaterials!A:J,10,FALSE),ROUND(I101*1.15/0.688,2))</f>
        <v>805</v>
      </c>
      <c r="I101" s="28">
        <f>VLOOKUP(A101,MasterMaterials!A:I,9,FALSE)</f>
        <v>700</v>
      </c>
      <c r="J101" s="26" t="s">
        <v>553</v>
      </c>
      <c r="M101" s="26" t="s">
        <v>234</v>
      </c>
    </row>
    <row r="102" ht="22.5" customHeight="1">
      <c r="A102" s="26" t="s">
        <v>236</v>
      </c>
      <c r="D102" s="26" t="s">
        <v>505</v>
      </c>
      <c r="E102" s="26" t="s">
        <v>506</v>
      </c>
      <c r="F102" s="26" t="s">
        <v>524</v>
      </c>
      <c r="H102" s="27">
        <f>IF(AND(VLOOKUP(A102,MasterMaterials!A:J,10,FALSE)&lt;&gt;"",VLOOKUP(A102,MasterMaterials!A:J,10,FALSE)&lt;&gt;0),VLOOKUP(A102,MasterMaterials!A:J,10,FALSE),ROUND(I102*1.15/0.688,2))</f>
        <v>1092</v>
      </c>
      <c r="I102" s="28">
        <f>VLOOKUP(A102,MasterMaterials!A:I,9,FALSE)</f>
        <v>950</v>
      </c>
      <c r="J102" s="26" t="s">
        <v>553</v>
      </c>
      <c r="M102" s="26" t="s">
        <v>236</v>
      </c>
    </row>
    <row r="103" ht="22.5" customHeight="1">
      <c r="A103" s="26" t="s">
        <v>238</v>
      </c>
      <c r="D103" s="26" t="s">
        <v>505</v>
      </c>
      <c r="E103" s="26" t="s">
        <v>506</v>
      </c>
      <c r="F103" s="26" t="s">
        <v>524</v>
      </c>
      <c r="H103" s="27">
        <f>IF(AND(VLOOKUP(A103,MasterMaterials!A:J,10,FALSE)&lt;&gt;"",VLOOKUP(A103,MasterMaterials!A:J,10,FALSE)&lt;&gt;0),VLOOKUP(A103,MasterMaterials!A:J,10,FALSE),ROUND(I103*1.15/0.688,2))</f>
        <v>690</v>
      </c>
      <c r="I103" s="28">
        <f>VLOOKUP(A103,MasterMaterials!A:I,9,FALSE)</f>
        <v>600</v>
      </c>
      <c r="J103" s="26" t="s">
        <v>553</v>
      </c>
      <c r="M103" s="26" t="s">
        <v>238</v>
      </c>
    </row>
    <row r="104" ht="22.5" customHeight="1">
      <c r="A104" s="26" t="s">
        <v>240</v>
      </c>
      <c r="D104" s="26" t="s">
        <v>505</v>
      </c>
      <c r="E104" s="26" t="s">
        <v>506</v>
      </c>
      <c r="F104" s="26" t="s">
        <v>524</v>
      </c>
      <c r="H104" s="27">
        <f>IF(AND(VLOOKUP(A104,MasterMaterials!A:J,10,FALSE)&lt;&gt;"",VLOOKUP(A104,MasterMaterials!A:J,10,FALSE)&lt;&gt;0),VLOOKUP(A104,MasterMaterials!A:J,10,FALSE),ROUND(I104*1.15/0.688,2))</f>
        <v>45</v>
      </c>
      <c r="I104" s="28">
        <f>VLOOKUP(A104,MasterMaterials!A:I,9,FALSE)</f>
        <v>32</v>
      </c>
      <c r="J104" s="26" t="s">
        <v>564</v>
      </c>
      <c r="M104" s="26" t="s">
        <v>240</v>
      </c>
    </row>
    <row r="105" ht="22.5" customHeight="1">
      <c r="A105" s="26" t="s">
        <v>243</v>
      </c>
      <c r="D105" s="26" t="s">
        <v>505</v>
      </c>
      <c r="E105" s="26" t="s">
        <v>506</v>
      </c>
      <c r="F105" s="26" t="s">
        <v>607</v>
      </c>
      <c r="H105" s="27">
        <f>IF(AND(VLOOKUP(A105,MasterMaterials!A:J,10,FALSE)&lt;&gt;"",VLOOKUP(A105,MasterMaterials!A:J,10,FALSE)&lt;&gt;0),VLOOKUP(A105,MasterMaterials!A:J,10,FALSE),ROUND(I105*1.15/0.688,2))</f>
        <v>15.75</v>
      </c>
      <c r="I105" s="28" t="str">
        <f>VLOOKUP(A105,MasterMaterials!A:I,9,FALSE)</f>
        <v/>
      </c>
      <c r="J105" s="26" t="s">
        <v>608</v>
      </c>
      <c r="M105" s="26" t="s">
        <v>243</v>
      </c>
    </row>
    <row r="106" ht="22.5" customHeight="1">
      <c r="A106" s="26" t="s">
        <v>246</v>
      </c>
      <c r="D106" s="26" t="s">
        <v>505</v>
      </c>
      <c r="E106" s="26" t="s">
        <v>506</v>
      </c>
      <c r="F106" s="26" t="s">
        <v>562</v>
      </c>
      <c r="H106" s="27">
        <f>IF(AND(VLOOKUP(A106,MasterMaterials!A:J,10,FALSE)&lt;&gt;"",VLOOKUP(A106,MasterMaterials!A:J,10,FALSE)&lt;&gt;0),VLOOKUP(A106,MasterMaterials!A:J,10,FALSE),ROUND(I106*1.15/0.688,2))</f>
        <v>37</v>
      </c>
      <c r="I106" s="28" t="str">
        <f>VLOOKUP(A106,MasterMaterials!A:I,9,FALSE)</f>
        <v/>
      </c>
      <c r="J106" s="26" t="s">
        <v>609</v>
      </c>
      <c r="M106" s="26" t="s">
        <v>246</v>
      </c>
    </row>
    <row r="107" ht="22.5" customHeight="1">
      <c r="A107" s="26" t="s">
        <v>249</v>
      </c>
      <c r="D107" s="26" t="s">
        <v>505</v>
      </c>
      <c r="E107" s="26" t="s">
        <v>506</v>
      </c>
      <c r="F107" s="26" t="s">
        <v>507</v>
      </c>
      <c r="H107" s="27">
        <f>IF(AND(VLOOKUP(A107,MasterMaterials!A:J,10,FALSE)&lt;&gt;"",VLOOKUP(A107,MasterMaterials!A:J,10,FALSE)&lt;&gt;0),VLOOKUP(A107,MasterMaterials!A:J,10,FALSE),ROUND(I107*1.15/0.688,2))</f>
        <v>66.86</v>
      </c>
      <c r="I107" s="28">
        <f>VLOOKUP(A107,MasterMaterials!A:I,9,FALSE)</f>
        <v>40</v>
      </c>
      <c r="J107" s="26" t="s">
        <v>507</v>
      </c>
      <c r="M107" s="26" t="s">
        <v>610</v>
      </c>
    </row>
    <row r="108" ht="22.5" customHeight="1">
      <c r="A108" s="26" t="s">
        <v>251</v>
      </c>
      <c r="D108" s="26" t="s">
        <v>505</v>
      </c>
      <c r="E108" s="26" t="s">
        <v>506</v>
      </c>
      <c r="F108" s="26" t="s">
        <v>566</v>
      </c>
      <c r="H108" s="27">
        <f>IF(AND(VLOOKUP(A108,MasterMaterials!A:J,10,FALSE)&lt;&gt;"",VLOOKUP(A108,MasterMaterials!A:J,10,FALSE)&lt;&gt;0),VLOOKUP(A108,MasterMaterials!A:J,10,FALSE),ROUND(I108*1.15/0.688,2))</f>
        <v>120.35</v>
      </c>
      <c r="I108" s="28">
        <f>VLOOKUP(A108,MasterMaterials!A:I,9,FALSE)</f>
        <v>72</v>
      </c>
      <c r="J108" s="26" t="s">
        <v>608</v>
      </c>
      <c r="M108" s="26" t="s">
        <v>611</v>
      </c>
    </row>
    <row r="109" ht="22.5" customHeight="1">
      <c r="A109" s="26" t="s">
        <v>253</v>
      </c>
      <c r="D109" s="26" t="s">
        <v>505</v>
      </c>
      <c r="E109" s="26" t="s">
        <v>506</v>
      </c>
      <c r="F109" s="26" t="s">
        <v>566</v>
      </c>
      <c r="H109" s="27">
        <f>IF(AND(VLOOKUP(A109,MasterMaterials!A:J,10,FALSE)&lt;&gt;"",VLOOKUP(A109,MasterMaterials!A:J,10,FALSE)&lt;&gt;0),VLOOKUP(A109,MasterMaterials!A:J,10,FALSE),ROUND(I109*1.15/0.688,2))</f>
        <v>36.77</v>
      </c>
      <c r="I109" s="28">
        <f>VLOOKUP(A109,MasterMaterials!A:I,9,FALSE)</f>
        <v>22</v>
      </c>
      <c r="J109" s="26" t="s">
        <v>608</v>
      </c>
      <c r="M109" s="26" t="s">
        <v>612</v>
      </c>
    </row>
    <row r="110" ht="22.5" customHeight="1">
      <c r="A110" s="26" t="s">
        <v>255</v>
      </c>
      <c r="D110" s="26" t="s">
        <v>505</v>
      </c>
      <c r="E110" s="26" t="s">
        <v>506</v>
      </c>
      <c r="F110" s="26" t="s">
        <v>562</v>
      </c>
      <c r="H110" s="27">
        <f>IF(AND(VLOOKUP(A110,MasterMaterials!A:J,10,FALSE)&lt;&gt;"",VLOOKUP(A110,MasterMaterials!A:J,10,FALSE)&lt;&gt;0),VLOOKUP(A110,MasterMaterials!A:J,10,FALSE),ROUND(I110*1.15/0.688,2))</f>
        <v>19.95</v>
      </c>
      <c r="I110" s="28">
        <f>VLOOKUP(A110,MasterMaterials!A:I,9,FALSE)</f>
        <v>19.95</v>
      </c>
      <c r="J110" s="26" t="s">
        <v>608</v>
      </c>
      <c r="M110" s="26" t="s">
        <v>613</v>
      </c>
    </row>
    <row r="111" ht="22.5" customHeight="1">
      <c r="A111" s="26" t="s">
        <v>257</v>
      </c>
      <c r="D111" s="26" t="s">
        <v>505</v>
      </c>
      <c r="E111" s="26" t="s">
        <v>506</v>
      </c>
      <c r="F111" s="26" t="s">
        <v>507</v>
      </c>
      <c r="H111" s="27">
        <f>IF(AND(VLOOKUP(A111,MasterMaterials!A:J,10,FALSE)&lt;&gt;"",VLOOKUP(A111,MasterMaterials!A:J,10,FALSE)&lt;&gt;0),VLOOKUP(A111,MasterMaterials!A:J,10,FALSE),ROUND(I111*1.15/0.688,2))</f>
        <v>1034.67</v>
      </c>
      <c r="I111" s="28">
        <f>VLOOKUP(A111,MasterMaterials!A:I,9,FALSE)</f>
        <v>619</v>
      </c>
      <c r="J111" s="26" t="s">
        <v>507</v>
      </c>
      <c r="M111" s="26" t="s">
        <v>257</v>
      </c>
    </row>
    <row r="112" ht="22.5" customHeight="1">
      <c r="A112" s="26" t="s">
        <v>259</v>
      </c>
      <c r="D112" s="26" t="s">
        <v>505</v>
      </c>
      <c r="E112" s="26" t="s">
        <v>506</v>
      </c>
      <c r="F112" s="26" t="s">
        <v>607</v>
      </c>
      <c r="H112" s="27">
        <f>IF(AND(VLOOKUP(A112,MasterMaterials!A:J,10,FALSE)&lt;&gt;"",VLOOKUP(A112,MasterMaterials!A:J,10,FALSE)&lt;&gt;0),VLOOKUP(A112,MasterMaterials!A:J,10,FALSE),ROUND(I112*1.15/0.688,2))</f>
        <v>71</v>
      </c>
      <c r="I112" s="28">
        <f>VLOOKUP(A112,MasterMaterials!A:I,9,FALSE)</f>
        <v>71</v>
      </c>
      <c r="J112" s="26" t="s">
        <v>608</v>
      </c>
      <c r="M112" s="26" t="s">
        <v>614</v>
      </c>
    </row>
    <row r="113" ht="22.5" customHeight="1">
      <c r="A113" s="26" t="s">
        <v>261</v>
      </c>
      <c r="D113" s="26" t="s">
        <v>505</v>
      </c>
      <c r="E113" s="26" t="s">
        <v>506</v>
      </c>
      <c r="F113" s="26" t="s">
        <v>589</v>
      </c>
      <c r="H113" s="27">
        <f>IF(AND(VLOOKUP(A113,MasterMaterials!A:J,10,FALSE)&lt;&gt;"",VLOOKUP(A113,MasterMaterials!A:J,10,FALSE)&lt;&gt;0),VLOOKUP(A113,MasterMaterials!A:J,10,FALSE),ROUND(I113*1.15/0.688,2))</f>
        <v>2.5</v>
      </c>
      <c r="I113" s="28">
        <f>VLOOKUP(A113,MasterMaterials!A:I,9,FALSE)</f>
        <v>2.5</v>
      </c>
      <c r="J113" s="26" t="s">
        <v>608</v>
      </c>
      <c r="M113" s="26" t="s">
        <v>615</v>
      </c>
    </row>
    <row r="114" ht="22.5" customHeight="1">
      <c r="A114" s="26" t="s">
        <v>263</v>
      </c>
      <c r="D114" s="26" t="s">
        <v>505</v>
      </c>
      <c r="E114" s="26" t="s">
        <v>506</v>
      </c>
      <c r="F114" s="26" t="s">
        <v>524</v>
      </c>
      <c r="H114" s="27">
        <f>IF(AND(VLOOKUP(A114,MasterMaterials!A:J,10,FALSE)&lt;&gt;"",VLOOKUP(A114,MasterMaterials!A:J,10,FALSE)&lt;&gt;0),VLOOKUP(A114,MasterMaterials!A:J,10,FALSE),ROUND(I114*1.15/0.688,2))</f>
        <v>2</v>
      </c>
      <c r="I114" s="28">
        <f>VLOOKUP(A114,MasterMaterials!A:I,9,FALSE)</f>
        <v>1</v>
      </c>
      <c r="J114" s="26" t="s">
        <v>507</v>
      </c>
      <c r="M114" s="26" t="s">
        <v>616</v>
      </c>
    </row>
    <row r="115" ht="22.5" customHeight="1">
      <c r="A115" s="26" t="s">
        <v>265</v>
      </c>
      <c r="D115" s="26" t="s">
        <v>505</v>
      </c>
      <c r="E115" s="26" t="s">
        <v>506</v>
      </c>
      <c r="F115" s="26" t="s">
        <v>524</v>
      </c>
      <c r="H115" s="27">
        <f>IF(AND(VLOOKUP(A115,MasterMaterials!A:J,10,FALSE)&lt;&gt;"",VLOOKUP(A115,MasterMaterials!A:J,10,FALSE)&lt;&gt;0),VLOOKUP(A115,MasterMaterials!A:J,10,FALSE),ROUND(I115*1.15/0.688,2))</f>
        <v>1.2</v>
      </c>
      <c r="I115" s="28">
        <f>VLOOKUP(A115,MasterMaterials!A:I,9,FALSE)</f>
        <v>1</v>
      </c>
      <c r="J115" s="26" t="s">
        <v>608</v>
      </c>
      <c r="M115" s="26" t="s">
        <v>617</v>
      </c>
    </row>
    <row r="116" ht="22.5" customHeight="1">
      <c r="A116" s="26" t="s">
        <v>267</v>
      </c>
      <c r="D116" s="26" t="s">
        <v>505</v>
      </c>
      <c r="E116" s="26" t="s">
        <v>506</v>
      </c>
      <c r="F116" s="26" t="s">
        <v>507</v>
      </c>
      <c r="H116" s="28">
        <f>IF(AND(VLOOKUP(A116,MasterMaterials!A:J,10,FALSE)&lt;&gt;"",VLOOKUP(A116,MasterMaterials!A:J,10,FALSE)&lt;&gt;0),VLOOKUP(A116,MasterMaterials!A:J,10,FALSE),ROUND(I116*1.15/0.688,2))</f>
        <v>0</v>
      </c>
      <c r="I116" s="28">
        <f>VLOOKUP(A116,MasterMaterials!A:I,9,FALSE)</f>
        <v>0</v>
      </c>
      <c r="J116" s="26" t="s">
        <v>507</v>
      </c>
      <c r="M116" s="26" t="s">
        <v>618</v>
      </c>
    </row>
    <row r="117" ht="22.5" customHeight="1">
      <c r="A117" s="26" t="s">
        <v>270</v>
      </c>
      <c r="D117" s="26" t="s">
        <v>505</v>
      </c>
      <c r="E117" s="26" t="s">
        <v>506</v>
      </c>
      <c r="F117" s="26" t="s">
        <v>566</v>
      </c>
      <c r="H117" s="27">
        <f>IF(AND(VLOOKUP(A117,MasterMaterials!A:J,10,FALSE)&lt;&gt;"",VLOOKUP(A117,MasterMaterials!A:J,10,FALSE)&lt;&gt;0),VLOOKUP(A117,MasterMaterials!A:J,10,FALSE),ROUND(I117*1.15/0.688,2))</f>
        <v>1.2</v>
      </c>
      <c r="I117" s="28">
        <f>VLOOKUP(A117,MasterMaterials!A:I,9,FALSE)</f>
        <v>1</v>
      </c>
      <c r="J117" s="26" t="s">
        <v>608</v>
      </c>
      <c r="M117" s="26" t="s">
        <v>619</v>
      </c>
    </row>
    <row r="118" ht="22.5" customHeight="1">
      <c r="A118" s="26" t="s">
        <v>272</v>
      </c>
      <c r="D118" s="26" t="s">
        <v>505</v>
      </c>
      <c r="E118" s="26" t="s">
        <v>506</v>
      </c>
      <c r="F118" s="26" t="s">
        <v>507</v>
      </c>
      <c r="H118" s="27">
        <f>IF(AND(VLOOKUP(A118,MasterMaterials!A:J,10,FALSE)&lt;&gt;"",VLOOKUP(A118,MasterMaterials!A:J,10,FALSE)&lt;&gt;0),VLOOKUP(A118,MasterMaterials!A:J,10,FALSE),ROUND(I118*1.15/0.688,2))</f>
        <v>2</v>
      </c>
      <c r="I118" s="28">
        <f>VLOOKUP(A118,MasterMaterials!A:I,9,FALSE)</f>
        <v>1</v>
      </c>
      <c r="J118" s="26" t="s">
        <v>507</v>
      </c>
      <c r="M118" s="26" t="s">
        <v>620</v>
      </c>
    </row>
    <row r="119" ht="22.5" customHeight="1">
      <c r="A119" s="26" t="s">
        <v>274</v>
      </c>
      <c r="D119" s="26" t="s">
        <v>505</v>
      </c>
      <c r="E119" s="26" t="s">
        <v>506</v>
      </c>
      <c r="F119" s="26" t="s">
        <v>507</v>
      </c>
      <c r="H119" s="27">
        <f>IF(AND(VLOOKUP(A119,MasterMaterials!A:J,10,FALSE)&lt;&gt;"",VLOOKUP(A119,MasterMaterials!A:J,10,FALSE)&lt;&gt;0),VLOOKUP(A119,MasterMaterials!A:J,10,FALSE),ROUND(I119*1.15/0.688,2))</f>
        <v>2</v>
      </c>
      <c r="I119" s="28">
        <f>VLOOKUP(A119,MasterMaterials!A:I,9,FALSE)</f>
        <v>1</v>
      </c>
      <c r="J119" s="26" t="s">
        <v>507</v>
      </c>
      <c r="M119" s="26" t="s">
        <v>621</v>
      </c>
    </row>
    <row r="120" ht="22.5" customHeight="1">
      <c r="A120" s="26" t="s">
        <v>276</v>
      </c>
      <c r="D120" s="26" t="s">
        <v>505</v>
      </c>
      <c r="E120" s="26" t="s">
        <v>506</v>
      </c>
      <c r="F120" s="26" t="s">
        <v>607</v>
      </c>
      <c r="H120" s="27">
        <f>IF(AND(VLOOKUP(A120,MasterMaterials!A:J,10,FALSE)&lt;&gt;"",VLOOKUP(A120,MasterMaterials!A:J,10,FALSE)&lt;&gt;0),VLOOKUP(A120,MasterMaterials!A:J,10,FALSE),ROUND(I120*1.15/0.688,2))</f>
        <v>71</v>
      </c>
      <c r="I120" s="28" t="str">
        <f>VLOOKUP(A120,MasterMaterials!A:I,9,FALSE)</f>
        <v/>
      </c>
      <c r="J120" s="26" t="s">
        <v>608</v>
      </c>
      <c r="M120" s="26" t="s">
        <v>276</v>
      </c>
    </row>
    <row r="121" ht="22.5" customHeight="1">
      <c r="A121" s="26" t="s">
        <v>278</v>
      </c>
      <c r="D121" s="26" t="s">
        <v>505</v>
      </c>
      <c r="E121" s="26" t="s">
        <v>506</v>
      </c>
      <c r="F121" s="26" t="s">
        <v>607</v>
      </c>
      <c r="H121" s="27">
        <f>IF(AND(VLOOKUP(A121,MasterMaterials!A:J,10,FALSE)&lt;&gt;"",VLOOKUP(A121,MasterMaterials!A:J,10,FALSE)&lt;&gt;0),VLOOKUP(A121,MasterMaterials!A:J,10,FALSE),ROUND(I121*1.15/0.688,2))</f>
        <v>22</v>
      </c>
      <c r="I121" s="28" t="str">
        <f>VLOOKUP(A121,MasterMaterials!A:I,9,FALSE)</f>
        <v/>
      </c>
      <c r="J121" s="26" t="s">
        <v>608</v>
      </c>
      <c r="M121" s="26" t="s">
        <v>278</v>
      </c>
    </row>
    <row r="122" ht="22.5" customHeight="1">
      <c r="A122" s="26" t="s">
        <v>280</v>
      </c>
      <c r="D122" s="26" t="s">
        <v>505</v>
      </c>
      <c r="E122" s="26" t="s">
        <v>506</v>
      </c>
      <c r="F122" s="26" t="s">
        <v>534</v>
      </c>
      <c r="H122" s="27">
        <f>IF(AND(VLOOKUP(A122,MasterMaterials!A:J,10,FALSE)&lt;&gt;"",VLOOKUP(A122,MasterMaterials!A:J,10,FALSE)&lt;&gt;0),VLOOKUP(A122,MasterMaterials!A:J,10,FALSE),ROUND(I122*1.15/0.688,2))</f>
        <v>501.45</v>
      </c>
      <c r="I122" s="28">
        <f>VLOOKUP(A122,MasterMaterials!A:I,9,FALSE)</f>
        <v>300</v>
      </c>
      <c r="J122" s="26" t="s">
        <v>622</v>
      </c>
      <c r="M122" s="26" t="s">
        <v>623</v>
      </c>
    </row>
    <row r="123" ht="22.5" customHeight="1">
      <c r="A123" s="35" t="s">
        <v>282</v>
      </c>
      <c r="B123" s="36"/>
      <c r="C123" s="36"/>
      <c r="D123" s="37" t="s">
        <v>505</v>
      </c>
      <c r="E123" s="37" t="s">
        <v>506</v>
      </c>
      <c r="F123" s="37" t="s">
        <v>562</v>
      </c>
      <c r="G123" s="36"/>
      <c r="H123" s="18">
        <f>IF(AND(VLOOKUP(A123,MasterMaterials!A:J,10,FALSE)&lt;&gt;"",VLOOKUP(A123,MasterMaterials!A:J,10,FALSE)&lt;&gt;0),VLOOKUP(A123,MasterMaterials!A:J,10,FALSE),ROUND(I123*1.15/0.688,2))</f>
        <v>48.35</v>
      </c>
      <c r="I123" s="21">
        <f>VLOOKUP(A123,MasterMaterials!A:I,9,FALSE)</f>
        <v>38.68</v>
      </c>
      <c r="J123" s="41"/>
      <c r="K123" s="36"/>
      <c r="L123" s="36"/>
      <c r="M123" s="39" t="s">
        <v>282</v>
      </c>
      <c r="N123" s="36"/>
      <c r="O123" s="36"/>
      <c r="P123" s="40"/>
    </row>
    <row r="124" ht="22.5" customHeight="1">
      <c r="A124" s="26" t="s">
        <v>284</v>
      </c>
      <c r="D124" s="26" t="s">
        <v>505</v>
      </c>
      <c r="E124" s="26" t="s">
        <v>506</v>
      </c>
      <c r="F124" s="26" t="s">
        <v>566</v>
      </c>
      <c r="H124" s="27">
        <f>IF(AND(VLOOKUP(A124,MasterMaterials!A:J,10,FALSE)&lt;&gt;"",VLOOKUP(A124,MasterMaterials!A:J,10,FALSE)&lt;&gt;0),VLOOKUP(A124,MasterMaterials!A:J,10,FALSE),ROUND(I124*1.15/0.688,2))</f>
        <v>10.88</v>
      </c>
      <c r="I124" s="28">
        <f>VLOOKUP(A124,MasterMaterials!A:I,9,FALSE)</f>
        <v>5.44</v>
      </c>
      <c r="J124" s="26" t="s">
        <v>624</v>
      </c>
      <c r="M124" s="26" t="s">
        <v>625</v>
      </c>
    </row>
    <row r="125" ht="22.5" customHeight="1">
      <c r="A125" s="26" t="s">
        <v>286</v>
      </c>
      <c r="D125" s="26" t="s">
        <v>505</v>
      </c>
      <c r="E125" s="26" t="s">
        <v>506</v>
      </c>
      <c r="F125" s="26" t="s">
        <v>566</v>
      </c>
      <c r="H125" s="27">
        <f>IF(AND(VLOOKUP(A125,MasterMaterials!A:J,10,FALSE)&lt;&gt;"",VLOOKUP(A125,MasterMaterials!A:J,10,FALSE)&lt;&gt;0),VLOOKUP(A125,MasterMaterials!A:J,10,FALSE),ROUND(I125*1.15/0.688,2))</f>
        <v>65</v>
      </c>
      <c r="I125" s="28">
        <f>VLOOKUP(A125,MasterMaterials!A:I,9,FALSE)</f>
        <v>40.94</v>
      </c>
      <c r="J125" s="26" t="s">
        <v>624</v>
      </c>
      <c r="M125" s="26" t="s">
        <v>626</v>
      </c>
    </row>
    <row r="126" ht="22.5" customHeight="1">
      <c r="A126" s="26" t="s">
        <v>288</v>
      </c>
      <c r="D126" s="26" t="s">
        <v>505</v>
      </c>
      <c r="E126" s="26" t="s">
        <v>506</v>
      </c>
      <c r="F126" s="26" t="s">
        <v>566</v>
      </c>
      <c r="H126" s="27">
        <f>IF(AND(VLOOKUP(A126,MasterMaterials!A:J,10,FALSE)&lt;&gt;"",VLOOKUP(A126,MasterMaterials!A:J,10,FALSE)&lt;&gt;0),VLOOKUP(A126,MasterMaterials!A:J,10,FALSE),ROUND(I126*1.15/0.688,2))</f>
        <v>8.84</v>
      </c>
      <c r="I126" s="28">
        <f>VLOOKUP(A126,MasterMaterials!A:I,9,FALSE)</f>
        <v>4.42</v>
      </c>
      <c r="J126" s="26" t="s">
        <v>624</v>
      </c>
      <c r="M126" s="26" t="s">
        <v>627</v>
      </c>
    </row>
    <row r="127" ht="22.5" customHeight="1">
      <c r="A127" s="26" t="s">
        <v>290</v>
      </c>
      <c r="D127" s="26" t="s">
        <v>505</v>
      </c>
      <c r="E127" s="26" t="s">
        <v>506</v>
      </c>
      <c r="F127" s="26" t="s">
        <v>566</v>
      </c>
      <c r="H127" s="27">
        <f>IF(AND(VLOOKUP(A127,MasterMaterials!A:J,10,FALSE)&lt;&gt;"",VLOOKUP(A127,MasterMaterials!A:J,10,FALSE)&lt;&gt;0),VLOOKUP(A127,MasterMaterials!A:J,10,FALSE),ROUND(I127*1.15/0.688,2))</f>
        <v>79.12</v>
      </c>
      <c r="I127" s="28">
        <f>VLOOKUP(A127,MasterMaterials!A:I,9,FALSE)</f>
        <v>41.21</v>
      </c>
      <c r="J127" s="26" t="s">
        <v>624</v>
      </c>
      <c r="M127" s="26" t="s">
        <v>628</v>
      </c>
    </row>
    <row r="128" ht="22.5" customHeight="1">
      <c r="A128" s="26" t="s">
        <v>292</v>
      </c>
      <c r="D128" s="26" t="s">
        <v>505</v>
      </c>
      <c r="E128" s="26" t="s">
        <v>506</v>
      </c>
      <c r="F128" s="26" t="s">
        <v>524</v>
      </c>
      <c r="H128" s="27">
        <f>IF(AND(VLOOKUP(A128,MasterMaterials!A:J,10,FALSE)&lt;&gt;"",VLOOKUP(A128,MasterMaterials!A:J,10,FALSE)&lt;&gt;0),VLOOKUP(A128,MasterMaterials!A:J,10,FALSE),ROUND(I128*1.15/0.688,2))</f>
        <v>142.93</v>
      </c>
      <c r="I128" s="28">
        <f>VLOOKUP(A128,MasterMaterials!A:I,9,FALSE)</f>
        <v>85.51</v>
      </c>
      <c r="J128" s="26" t="s">
        <v>525</v>
      </c>
      <c r="M128" s="26" t="s">
        <v>629</v>
      </c>
    </row>
    <row r="129" ht="22.5" customHeight="1">
      <c r="A129" s="26" t="s">
        <v>294</v>
      </c>
      <c r="D129" s="26" t="s">
        <v>505</v>
      </c>
      <c r="E129" s="26" t="s">
        <v>506</v>
      </c>
      <c r="F129" s="26" t="s">
        <v>524</v>
      </c>
      <c r="H129" s="27">
        <f>IF(AND(VLOOKUP(A129,MasterMaterials!A:J,10,FALSE)&lt;&gt;"",VLOOKUP(A129,MasterMaterials!A:J,10,FALSE)&lt;&gt;0),VLOOKUP(A129,MasterMaterials!A:J,10,FALSE),ROUND(I129*1.15/0.688,2))</f>
        <v>99.2</v>
      </c>
      <c r="I129" s="28">
        <f>VLOOKUP(A129,MasterMaterials!A:I,9,FALSE)</f>
        <v>59.35</v>
      </c>
      <c r="J129" s="26" t="s">
        <v>525</v>
      </c>
      <c r="M129" s="26" t="s">
        <v>630</v>
      </c>
    </row>
    <row r="130" ht="22.5" customHeight="1">
      <c r="A130" s="26" t="s">
        <v>296</v>
      </c>
      <c r="D130" s="26" t="s">
        <v>505</v>
      </c>
      <c r="E130" s="26" t="s">
        <v>506</v>
      </c>
      <c r="F130" s="26" t="s">
        <v>562</v>
      </c>
      <c r="H130" s="27">
        <f>IF(AND(VLOOKUP(A130,MasterMaterials!A:J,10,FALSE)&lt;&gt;"",VLOOKUP(A130,MasterMaterials!A:J,10,FALSE)&lt;&gt;0),VLOOKUP(A130,MasterMaterials!A:J,10,FALSE),ROUND(I130*1.15/0.688,2))</f>
        <v>52.5</v>
      </c>
      <c r="I130" s="28">
        <f>VLOOKUP(A130,MasterMaterials!A:I,9,FALSE)</f>
        <v>42</v>
      </c>
      <c r="J130" s="26" t="s">
        <v>609</v>
      </c>
      <c r="M130" s="26" t="s">
        <v>631</v>
      </c>
    </row>
    <row r="131" ht="22.5" customHeight="1">
      <c r="A131" s="26" t="s">
        <v>298</v>
      </c>
      <c r="D131" s="26" t="s">
        <v>505</v>
      </c>
      <c r="E131" s="26" t="s">
        <v>506</v>
      </c>
      <c r="F131" s="26" t="s">
        <v>507</v>
      </c>
      <c r="H131" s="27">
        <f>IF(AND(VLOOKUP(A131,MasterMaterials!A:J,10,FALSE)&lt;&gt;"",VLOOKUP(A131,MasterMaterials!A:J,10,FALSE)&lt;&gt;0),VLOOKUP(A131,MasterMaterials!A:J,10,FALSE),ROUND(I131*1.15/0.688,2))</f>
        <v>0.74</v>
      </c>
      <c r="I131" s="28">
        <f>VLOOKUP(A131,MasterMaterials!A:I,9,FALSE)</f>
        <v>0.32</v>
      </c>
      <c r="J131" s="26" t="s">
        <v>507</v>
      </c>
      <c r="M131" s="26" t="s">
        <v>632</v>
      </c>
    </row>
    <row r="132" ht="22.5" customHeight="1">
      <c r="A132" s="26" t="s">
        <v>300</v>
      </c>
      <c r="D132" s="26" t="s">
        <v>505</v>
      </c>
      <c r="E132" s="26" t="s">
        <v>506</v>
      </c>
      <c r="F132" s="26" t="s">
        <v>507</v>
      </c>
      <c r="H132" s="27">
        <f>IF(AND(VLOOKUP(A132,MasterMaterials!A:J,10,FALSE)&lt;&gt;"",VLOOKUP(A132,MasterMaterials!A:J,10,FALSE)&lt;&gt;0),VLOOKUP(A132,MasterMaterials!A:J,10,FALSE),ROUND(I132*1.15/0.688,2))</f>
        <v>233.01</v>
      </c>
      <c r="I132" s="28">
        <f>VLOOKUP(A132,MasterMaterials!A:I,9,FALSE)</f>
        <v>111.02</v>
      </c>
      <c r="J132" s="26" t="s">
        <v>507</v>
      </c>
      <c r="M132" s="26" t="s">
        <v>633</v>
      </c>
    </row>
    <row r="133" ht="22.5" customHeight="1">
      <c r="A133" s="26" t="s">
        <v>302</v>
      </c>
      <c r="D133" s="26" t="s">
        <v>505</v>
      </c>
      <c r="E133" s="26" t="s">
        <v>506</v>
      </c>
      <c r="F133" s="26" t="s">
        <v>507</v>
      </c>
      <c r="H133" s="27">
        <f>IF(AND(VLOOKUP(A133,MasterMaterials!A:J,10,FALSE)&lt;&gt;"",VLOOKUP(A133,MasterMaterials!A:J,10,FALSE)&lt;&gt;0),VLOOKUP(A133,MasterMaterials!A:J,10,FALSE),ROUND(I133*1.15/0.688,2))</f>
        <v>357.21</v>
      </c>
      <c r="I133" s="28">
        <f>VLOOKUP(A133,MasterMaterials!A:I,9,FALSE)</f>
        <v>152.4</v>
      </c>
      <c r="J133" s="26" t="s">
        <v>507</v>
      </c>
      <c r="M133" s="26" t="s">
        <v>634</v>
      </c>
    </row>
    <row r="134" ht="22.5" customHeight="1">
      <c r="A134" s="26" t="s">
        <v>304</v>
      </c>
      <c r="D134" s="26" t="s">
        <v>505</v>
      </c>
      <c r="E134" s="26" t="s">
        <v>506</v>
      </c>
      <c r="F134" s="26" t="s">
        <v>562</v>
      </c>
      <c r="H134" s="27">
        <f>IF(AND(VLOOKUP(A134,MasterMaterials!A:J,10,FALSE)&lt;&gt;"",VLOOKUP(A134,MasterMaterials!A:J,10,FALSE)&lt;&gt;0),VLOOKUP(A134,MasterMaterials!A:J,10,FALSE),ROUND(I134*1.15/0.688,2))</f>
        <v>82</v>
      </c>
      <c r="I134" s="28">
        <f>VLOOKUP(A134,MasterMaterials!A:I,9,FALSE)</f>
        <v>81</v>
      </c>
      <c r="J134" s="26" t="s">
        <v>609</v>
      </c>
      <c r="M134" s="26" t="s">
        <v>635</v>
      </c>
    </row>
    <row r="135" ht="22.5" customHeight="1">
      <c r="A135" s="26" t="s">
        <v>306</v>
      </c>
      <c r="D135" s="26" t="s">
        <v>505</v>
      </c>
      <c r="E135" s="26" t="s">
        <v>506</v>
      </c>
      <c r="F135" s="26" t="s">
        <v>507</v>
      </c>
      <c r="H135" s="27">
        <f>IF(AND(VLOOKUP(A135,MasterMaterials!A:J,10,FALSE)&lt;&gt;"",VLOOKUP(A135,MasterMaterials!A:J,10,FALSE)&lt;&gt;0),VLOOKUP(A135,MasterMaterials!A:J,10,FALSE),ROUND(I135*1.15/0.688,2))</f>
        <v>8.59</v>
      </c>
      <c r="I135" s="28">
        <f>VLOOKUP(A135,MasterMaterials!A:I,9,FALSE)</f>
        <v>4.29</v>
      </c>
      <c r="J135" s="26" t="s">
        <v>507</v>
      </c>
      <c r="M135" s="26" t="s">
        <v>636</v>
      </c>
    </row>
    <row r="136" ht="22.5" customHeight="1">
      <c r="A136" s="26" t="s">
        <v>308</v>
      </c>
      <c r="D136" s="26" t="s">
        <v>505</v>
      </c>
      <c r="E136" s="26" t="s">
        <v>506</v>
      </c>
      <c r="F136" s="26" t="s">
        <v>507</v>
      </c>
      <c r="H136" s="27">
        <f>IF(AND(VLOOKUP(A136,MasterMaterials!A:J,10,FALSE)&lt;&gt;"",VLOOKUP(A136,MasterMaterials!A:J,10,FALSE)&lt;&gt;0),VLOOKUP(A136,MasterMaterials!A:J,10,FALSE),ROUND(I136*1.15/0.688,2))</f>
        <v>8.59</v>
      </c>
      <c r="I136" s="28">
        <f>VLOOKUP(A136,MasterMaterials!A:I,9,FALSE)</f>
        <v>4.29</v>
      </c>
      <c r="J136" s="26" t="s">
        <v>507</v>
      </c>
      <c r="M136" s="26" t="s">
        <v>637</v>
      </c>
    </row>
    <row r="137" ht="22.5" customHeight="1">
      <c r="A137" s="42" t="s">
        <v>310</v>
      </c>
      <c r="B137" s="36"/>
      <c r="C137" s="36"/>
      <c r="D137" s="37" t="s">
        <v>505</v>
      </c>
      <c r="E137" s="37" t="s">
        <v>506</v>
      </c>
      <c r="F137" s="37" t="s">
        <v>562</v>
      </c>
      <c r="G137" s="36"/>
      <c r="H137" s="21">
        <f>IF(AND(VLOOKUP(A137,MasterMaterials!A:J,10,FALSE)&lt;&gt;"",VLOOKUP(A137,MasterMaterials!A:J,10,FALSE)&lt;&gt;0),VLOOKUP(A137,MasterMaterials!A:J,10,FALSE),ROUND(I137*1.15/0.688,2))</f>
        <v>0</v>
      </c>
      <c r="I137" s="38" t="str">
        <f>VLOOKUP(A137,MasterMaterials!A:I,9,FALSE)</f>
        <v/>
      </c>
      <c r="J137" s="41"/>
      <c r="K137" s="36"/>
      <c r="L137" s="36"/>
      <c r="M137" s="37" t="s">
        <v>310</v>
      </c>
      <c r="N137" s="36"/>
      <c r="O137" s="36"/>
      <c r="P137" s="40"/>
    </row>
    <row r="138" ht="22.5" customHeight="1">
      <c r="A138" s="26" t="s">
        <v>311</v>
      </c>
      <c r="D138" s="26" t="s">
        <v>505</v>
      </c>
      <c r="E138" s="26" t="s">
        <v>506</v>
      </c>
      <c r="F138" s="26" t="s">
        <v>566</v>
      </c>
      <c r="H138" s="27">
        <f>IF(AND(VLOOKUP(A138,MasterMaterials!A:J,10,FALSE)&lt;&gt;"",VLOOKUP(A138,MasterMaterials!A:J,10,FALSE)&lt;&gt;0),VLOOKUP(A138,MasterMaterials!A:J,10,FALSE),ROUND(I138*1.15/0.688,2))</f>
        <v>8.15</v>
      </c>
      <c r="I138" s="28">
        <f>VLOOKUP(A138,MasterMaterials!A:I,9,FALSE)</f>
        <v>4.88</v>
      </c>
      <c r="J138" s="26" t="s">
        <v>553</v>
      </c>
      <c r="M138" s="26" t="s">
        <v>638</v>
      </c>
    </row>
    <row r="139" ht="22.5" customHeight="1">
      <c r="A139" s="26" t="s">
        <v>314</v>
      </c>
      <c r="D139" s="26" t="s">
        <v>505</v>
      </c>
      <c r="E139" s="26" t="s">
        <v>506</v>
      </c>
      <c r="F139" s="26" t="s">
        <v>566</v>
      </c>
      <c r="H139" s="27">
        <f>IF(AND(VLOOKUP(A139,MasterMaterials!A:J,10,FALSE)&lt;&gt;"",VLOOKUP(A139,MasterMaterials!A:J,10,FALSE)&lt;&gt;0),VLOOKUP(A139,MasterMaterials!A:J,10,FALSE),ROUND(I139*1.15/0.688,2))</f>
        <v>11.7</v>
      </c>
      <c r="I139" s="28">
        <f>VLOOKUP(A139,MasterMaterials!A:I,9,FALSE)</f>
        <v>7</v>
      </c>
      <c r="J139" s="26" t="s">
        <v>553</v>
      </c>
      <c r="M139" s="26" t="s">
        <v>639</v>
      </c>
    </row>
    <row r="140" ht="22.5" customHeight="1">
      <c r="A140" s="26" t="s">
        <v>316</v>
      </c>
      <c r="D140" s="26" t="s">
        <v>505</v>
      </c>
      <c r="E140" s="26" t="s">
        <v>506</v>
      </c>
      <c r="F140" s="26" t="s">
        <v>562</v>
      </c>
      <c r="H140" s="27">
        <f>IF(AND(VLOOKUP(A140,MasterMaterials!A:J,10,FALSE)&lt;&gt;"",VLOOKUP(A140,MasterMaterials!A:J,10,FALSE)&lt;&gt;0),VLOOKUP(A140,MasterMaterials!A:J,10,FALSE),ROUND(I140*1.15/0.688,2))</f>
        <v>18.99</v>
      </c>
      <c r="I140" s="28">
        <f>VLOOKUP(A140,MasterMaterials!A:I,9,FALSE)</f>
        <v>18.99</v>
      </c>
      <c r="J140" s="26" t="s">
        <v>542</v>
      </c>
      <c r="M140" s="26" t="s">
        <v>640</v>
      </c>
    </row>
    <row r="141" ht="22.5" customHeight="1">
      <c r="A141" s="26" t="s">
        <v>318</v>
      </c>
      <c r="D141" s="26" t="s">
        <v>505</v>
      </c>
      <c r="E141" s="26" t="s">
        <v>506</v>
      </c>
      <c r="F141" s="26" t="s">
        <v>589</v>
      </c>
      <c r="H141" s="27">
        <f>IF(AND(VLOOKUP(A141,MasterMaterials!A:J,10,FALSE)&lt;&gt;"",VLOOKUP(A141,MasterMaterials!A:J,10,FALSE)&lt;&gt;0),VLOOKUP(A141,MasterMaterials!A:J,10,FALSE),ROUND(I141*1.15/0.688,2))</f>
        <v>68</v>
      </c>
      <c r="I141" s="28">
        <f>VLOOKUP(A141,MasterMaterials!A:I,9,FALSE)</f>
        <v>68</v>
      </c>
      <c r="J141" s="26" t="s">
        <v>641</v>
      </c>
      <c r="M141" s="26" t="s">
        <v>642</v>
      </c>
    </row>
    <row r="142" ht="22.5" customHeight="1">
      <c r="A142" s="26" t="s">
        <v>320</v>
      </c>
      <c r="D142" s="26" t="s">
        <v>505</v>
      </c>
      <c r="E142" s="26" t="s">
        <v>506</v>
      </c>
      <c r="F142" s="26" t="s">
        <v>589</v>
      </c>
      <c r="H142" s="27">
        <f>IF(AND(VLOOKUP(A142,MasterMaterials!A:J,10,FALSE)&lt;&gt;"",VLOOKUP(A142,MasterMaterials!A:J,10,FALSE)&lt;&gt;0),VLOOKUP(A142,MasterMaterials!A:J,10,FALSE),ROUND(I142*1.15/0.688,2))</f>
        <v>178</v>
      </c>
      <c r="I142" s="28">
        <f>VLOOKUP(A142,MasterMaterials!A:I,9,FALSE)</f>
        <v>178</v>
      </c>
      <c r="J142" s="26" t="s">
        <v>641</v>
      </c>
      <c r="M142" s="26" t="s">
        <v>643</v>
      </c>
    </row>
    <row r="143" ht="22.5" customHeight="1">
      <c r="A143" s="26" t="s">
        <v>322</v>
      </c>
      <c r="D143" s="26" t="s">
        <v>505</v>
      </c>
      <c r="E143" s="26" t="s">
        <v>506</v>
      </c>
      <c r="F143" s="26" t="s">
        <v>534</v>
      </c>
      <c r="H143" s="27">
        <f>IF(AND(VLOOKUP(A143,MasterMaterials!A:J,10,FALSE)&lt;&gt;"",VLOOKUP(A143,MasterMaterials!A:J,10,FALSE)&lt;&gt;0),VLOOKUP(A143,MasterMaterials!A:J,10,FALSE),ROUND(I143*1.15/0.688,2))</f>
        <v>25</v>
      </c>
      <c r="I143" s="28">
        <f>VLOOKUP(A143,MasterMaterials!A:I,9,FALSE)</f>
        <v>9.5</v>
      </c>
      <c r="J143" s="26" t="s">
        <v>644</v>
      </c>
      <c r="M143" s="26" t="s">
        <v>645</v>
      </c>
    </row>
    <row r="144" ht="22.5" customHeight="1">
      <c r="A144" s="26" t="s">
        <v>324</v>
      </c>
      <c r="D144" s="26" t="s">
        <v>505</v>
      </c>
      <c r="E144" s="26" t="s">
        <v>506</v>
      </c>
      <c r="F144" s="26" t="s">
        <v>534</v>
      </c>
      <c r="H144" s="27">
        <f>IF(AND(VLOOKUP(A144,MasterMaterials!A:J,10,FALSE)&lt;&gt;"",VLOOKUP(A144,MasterMaterials!A:J,10,FALSE)&lt;&gt;0),VLOOKUP(A144,MasterMaterials!A:J,10,FALSE),ROUND(I144*1.15/0.688,2))</f>
        <v>40.12</v>
      </c>
      <c r="I144" s="28">
        <f>VLOOKUP(A144,MasterMaterials!A:I,9,FALSE)</f>
        <v>24</v>
      </c>
      <c r="J144" s="26" t="s">
        <v>644</v>
      </c>
      <c r="M144" s="26" t="s">
        <v>646</v>
      </c>
    </row>
    <row r="145" ht="22.5" customHeight="1">
      <c r="A145" s="26" t="s">
        <v>326</v>
      </c>
      <c r="D145" s="26" t="s">
        <v>505</v>
      </c>
      <c r="E145" s="26" t="s">
        <v>506</v>
      </c>
      <c r="F145" s="26" t="s">
        <v>534</v>
      </c>
      <c r="H145" s="27">
        <f>IF(AND(VLOOKUP(A145,MasterMaterials!A:J,10,FALSE)&lt;&gt;"",VLOOKUP(A145,MasterMaterials!A:J,10,FALSE)&lt;&gt;0),VLOOKUP(A145,MasterMaterials!A:J,10,FALSE),ROUND(I145*1.15/0.688,2))</f>
        <v>11</v>
      </c>
      <c r="I145" s="28">
        <f>VLOOKUP(A145,MasterMaterials!A:I,9,FALSE)</f>
        <v>8</v>
      </c>
      <c r="J145" s="26" t="s">
        <v>644</v>
      </c>
      <c r="M145" s="26" t="s">
        <v>647</v>
      </c>
    </row>
    <row r="146" ht="22.5" customHeight="1">
      <c r="A146" s="26" t="s">
        <v>328</v>
      </c>
      <c r="D146" s="26" t="s">
        <v>505</v>
      </c>
      <c r="E146" s="26" t="s">
        <v>506</v>
      </c>
      <c r="F146" s="26" t="s">
        <v>534</v>
      </c>
      <c r="H146" s="27">
        <f>IF(AND(VLOOKUP(A146,MasterMaterials!A:J,10,FALSE)&lt;&gt;"",VLOOKUP(A146,MasterMaterials!A:J,10,FALSE)&lt;&gt;0),VLOOKUP(A146,MasterMaterials!A:J,10,FALSE),ROUND(I146*1.15/0.688,2))</f>
        <v>55</v>
      </c>
      <c r="I146" s="28">
        <f>VLOOKUP(A146,MasterMaterials!A:I,9,FALSE)</f>
        <v>20</v>
      </c>
      <c r="J146" s="26" t="s">
        <v>644</v>
      </c>
      <c r="M146" s="26" t="s">
        <v>648</v>
      </c>
    </row>
    <row r="147" ht="22.5" customHeight="1">
      <c r="A147" s="26" t="s">
        <v>330</v>
      </c>
      <c r="D147" s="26" t="s">
        <v>505</v>
      </c>
      <c r="E147" s="26" t="s">
        <v>506</v>
      </c>
      <c r="F147" s="26" t="s">
        <v>534</v>
      </c>
      <c r="H147" s="27">
        <f>IF(AND(VLOOKUP(A147,MasterMaterials!A:J,10,FALSE)&lt;&gt;"",VLOOKUP(A147,MasterMaterials!A:J,10,FALSE)&lt;&gt;0),VLOOKUP(A147,MasterMaterials!A:J,10,FALSE),ROUND(I147*1.15/0.688,2))</f>
        <v>13.97</v>
      </c>
      <c r="I147" s="28">
        <f>VLOOKUP(A147,MasterMaterials!A:I,9,FALSE)</f>
        <v>8.36</v>
      </c>
      <c r="J147" s="26" t="s">
        <v>644</v>
      </c>
      <c r="M147" s="26" t="s">
        <v>649</v>
      </c>
    </row>
    <row r="148" ht="22.5" customHeight="1">
      <c r="A148" s="26" t="s">
        <v>332</v>
      </c>
      <c r="D148" s="26" t="s">
        <v>505</v>
      </c>
      <c r="E148" s="26" t="s">
        <v>506</v>
      </c>
      <c r="F148" s="26" t="s">
        <v>534</v>
      </c>
      <c r="H148" s="27">
        <f>IF(AND(VLOOKUP(A148,MasterMaterials!A:J,10,FALSE)&lt;&gt;"",VLOOKUP(A148,MasterMaterials!A:J,10,FALSE)&lt;&gt;0),VLOOKUP(A148,MasterMaterials!A:J,10,FALSE),ROUND(I148*1.15/0.688,2))</f>
        <v>28.42</v>
      </c>
      <c r="I148" s="28">
        <f>VLOOKUP(A148,MasterMaterials!A:I,9,FALSE)</f>
        <v>17</v>
      </c>
      <c r="J148" s="26" t="s">
        <v>644</v>
      </c>
      <c r="M148" s="26" t="s">
        <v>650</v>
      </c>
    </row>
    <row r="149" ht="22.5" customHeight="1">
      <c r="A149" s="26" t="s">
        <v>334</v>
      </c>
      <c r="D149" s="26" t="s">
        <v>505</v>
      </c>
      <c r="E149" s="26" t="s">
        <v>506</v>
      </c>
      <c r="F149" s="26" t="s">
        <v>507</v>
      </c>
      <c r="H149" s="27">
        <f>IF(AND(VLOOKUP(A149,MasterMaterials!A:J,10,FALSE)&lt;&gt;"",VLOOKUP(A149,MasterMaterials!A:J,10,FALSE)&lt;&gt;0),VLOOKUP(A149,MasterMaterials!A:J,10,FALSE),ROUND(I149*1.15/0.688,2))</f>
        <v>32.65</v>
      </c>
      <c r="I149" s="28">
        <f>VLOOKUP(A149,MasterMaterials!A:I,9,FALSE)</f>
        <v>13.96</v>
      </c>
      <c r="J149" s="26" t="s">
        <v>507</v>
      </c>
      <c r="M149" s="26" t="s">
        <v>336</v>
      </c>
    </row>
    <row r="150" ht="22.5" customHeight="1">
      <c r="A150" s="26" t="s">
        <v>337</v>
      </c>
      <c r="D150" s="26" t="s">
        <v>505</v>
      </c>
      <c r="E150" s="26" t="s">
        <v>506</v>
      </c>
      <c r="F150" s="26" t="s">
        <v>534</v>
      </c>
      <c r="H150" s="27">
        <f>IF(AND(VLOOKUP(A150,MasterMaterials!A:J,10,FALSE)&lt;&gt;"",VLOOKUP(A150,MasterMaterials!A:J,10,FALSE)&lt;&gt;0),VLOOKUP(A150,MasterMaterials!A:J,10,FALSE),ROUND(I150*1.15/0.688,2))</f>
        <v>876.15</v>
      </c>
      <c r="I150" s="28">
        <f>VLOOKUP(A150,MasterMaterials!A:I,9,FALSE)</f>
        <v>595</v>
      </c>
      <c r="J150" s="26" t="s">
        <v>535</v>
      </c>
      <c r="M150" s="26" t="s">
        <v>651</v>
      </c>
    </row>
    <row r="151" ht="22.5" customHeight="1">
      <c r="A151" s="26" t="s">
        <v>339</v>
      </c>
      <c r="B151" s="43"/>
      <c r="C151" s="43"/>
      <c r="D151" s="26" t="s">
        <v>505</v>
      </c>
      <c r="E151" s="26" t="s">
        <v>506</v>
      </c>
      <c r="F151" s="26" t="s">
        <v>534</v>
      </c>
      <c r="G151" s="43"/>
      <c r="H151" s="27">
        <f>IF(AND(VLOOKUP(A151,MasterMaterials!A:J,10,FALSE)&lt;&gt;"",VLOOKUP(A151,MasterMaterials!A:J,10,FALSE)&lt;&gt;0),VLOOKUP(A151,MasterMaterials!A:J,10,FALSE),ROUND(I151*1.15/0.688,2))</f>
        <v>1170.06</v>
      </c>
      <c r="I151" s="28">
        <f>VLOOKUP(A151,MasterMaterials!A:I,9,FALSE)</f>
        <v>700</v>
      </c>
      <c r="J151" s="26" t="s">
        <v>535</v>
      </c>
      <c r="M151" s="26" t="s">
        <v>652</v>
      </c>
    </row>
    <row r="152" ht="22.5" customHeight="1">
      <c r="A152" s="26" t="s">
        <v>341</v>
      </c>
      <c r="D152" s="26" t="s">
        <v>505</v>
      </c>
      <c r="E152" s="26" t="s">
        <v>506</v>
      </c>
      <c r="F152" s="26" t="s">
        <v>534</v>
      </c>
      <c r="H152" s="27">
        <f>IF(AND(VLOOKUP(A152,MasterMaterials!A:J,10,FALSE)&lt;&gt;"",VLOOKUP(A152,MasterMaterials!A:J,10,FALSE)&lt;&gt;0),VLOOKUP(A152,MasterMaterials!A:J,10,FALSE),ROUND(I152*1.15/0.688,2))</f>
        <v>561</v>
      </c>
      <c r="I152" s="28">
        <f>VLOOKUP(A152,MasterMaterials!A:I,9,FALSE)</f>
        <v>352</v>
      </c>
      <c r="J152" s="26" t="s">
        <v>535</v>
      </c>
      <c r="M152" s="26" t="s">
        <v>653</v>
      </c>
    </row>
    <row r="153" ht="22.5" customHeight="1">
      <c r="A153" s="26" t="s">
        <v>343</v>
      </c>
      <c r="D153" s="26" t="s">
        <v>505</v>
      </c>
      <c r="E153" s="26" t="s">
        <v>506</v>
      </c>
      <c r="F153" s="26" t="s">
        <v>534</v>
      </c>
      <c r="H153" s="27">
        <f>IF(AND(VLOOKUP(A153,MasterMaterials!A:J,10,FALSE)&lt;&gt;"",VLOOKUP(A153,MasterMaterials!A:J,10,FALSE)&lt;&gt;0),VLOOKUP(A153,MasterMaterials!A:J,10,FALSE),ROUND(I153*1.15/0.688,2))</f>
        <v>738</v>
      </c>
      <c r="I153" s="28">
        <f>VLOOKUP(A153,MasterMaterials!A:I,9,FALSE)</f>
        <v>452</v>
      </c>
      <c r="J153" s="26" t="s">
        <v>535</v>
      </c>
      <c r="M153" s="26" t="s">
        <v>654</v>
      </c>
    </row>
    <row r="154" ht="22.5" customHeight="1">
      <c r="A154" s="26" t="s">
        <v>345</v>
      </c>
      <c r="D154" s="26" t="s">
        <v>505</v>
      </c>
      <c r="E154" s="26" t="s">
        <v>506</v>
      </c>
      <c r="F154" s="26" t="s">
        <v>534</v>
      </c>
      <c r="H154" s="27">
        <f>IF(AND(VLOOKUP(A154,MasterMaterials!A:J,10,FALSE)&lt;&gt;"",VLOOKUP(A154,MasterMaterials!A:J,10,FALSE)&lt;&gt;0),VLOOKUP(A154,MasterMaterials!A:J,10,FALSE),ROUND(I154*1.15/0.688,2))</f>
        <v>1.67</v>
      </c>
      <c r="I154" s="28">
        <f>VLOOKUP(A154,MasterMaterials!A:I,9,FALSE)</f>
        <v>1</v>
      </c>
      <c r="J154" s="26" t="s">
        <v>534</v>
      </c>
      <c r="M154" s="26" t="s">
        <v>655</v>
      </c>
    </row>
    <row r="155" ht="22.5" customHeight="1">
      <c r="A155" s="26" t="s">
        <v>347</v>
      </c>
      <c r="D155" s="26" t="s">
        <v>505</v>
      </c>
      <c r="E155" s="26" t="s">
        <v>506</v>
      </c>
      <c r="F155" s="26" t="s">
        <v>534</v>
      </c>
      <c r="H155" s="27">
        <f>IF(AND(VLOOKUP(A155,MasterMaterials!A:J,10,FALSE)&lt;&gt;"",VLOOKUP(A155,MasterMaterials!A:J,10,FALSE)&lt;&gt;0),VLOOKUP(A155,MasterMaterials!A:J,10,FALSE),ROUND(I155*1.15/0.688,2))</f>
        <v>1.67</v>
      </c>
      <c r="I155" s="28">
        <f>VLOOKUP(A155,MasterMaterials!A:I,9,FALSE)</f>
        <v>1</v>
      </c>
      <c r="J155" s="26" t="s">
        <v>622</v>
      </c>
      <c r="M155" s="26" t="s">
        <v>656</v>
      </c>
    </row>
    <row r="156" ht="22.5" customHeight="1">
      <c r="A156" s="26" t="s">
        <v>349</v>
      </c>
      <c r="D156" s="26" t="s">
        <v>505</v>
      </c>
      <c r="E156" s="26" t="s">
        <v>506</v>
      </c>
      <c r="F156" s="26" t="s">
        <v>507</v>
      </c>
      <c r="H156" s="27">
        <f>IF(AND(VLOOKUP(A156,MasterMaterials!A:J,10,FALSE)&lt;&gt;"",VLOOKUP(A156,MasterMaterials!A:J,10,FALSE)&lt;&gt;0),VLOOKUP(A156,MasterMaterials!A:J,10,FALSE),ROUND(I156*1.15/0.688,2))</f>
        <v>11.19</v>
      </c>
      <c r="I156" s="28">
        <f>VLOOKUP(A156,MasterMaterials!A:I,9,FALSE)</f>
        <v>5.59</v>
      </c>
      <c r="J156" s="26" t="s">
        <v>507</v>
      </c>
      <c r="M156" s="26" t="s">
        <v>657</v>
      </c>
    </row>
    <row r="157" ht="22.5" customHeight="1">
      <c r="A157" s="26" t="s">
        <v>351</v>
      </c>
      <c r="D157" s="26" t="s">
        <v>505</v>
      </c>
      <c r="E157" s="26" t="s">
        <v>506</v>
      </c>
      <c r="F157" s="26" t="s">
        <v>566</v>
      </c>
      <c r="H157" s="27">
        <f>IF(AND(VLOOKUP(A157,MasterMaterials!A:J,10,FALSE)&lt;&gt;"",VLOOKUP(A157,MasterMaterials!A:J,10,FALSE)&lt;&gt;0),VLOOKUP(A157,MasterMaterials!A:J,10,FALSE),ROUND(I157*1.15/0.688,2))</f>
        <v>27</v>
      </c>
      <c r="I157" s="28">
        <f>VLOOKUP(A157,MasterMaterials!A:I,9,FALSE)</f>
        <v>10.77</v>
      </c>
      <c r="J157" s="26" t="s">
        <v>542</v>
      </c>
      <c r="M157" s="26" t="s">
        <v>658</v>
      </c>
    </row>
    <row r="158" ht="22.5" customHeight="1">
      <c r="A158" s="26" t="s">
        <v>353</v>
      </c>
      <c r="D158" s="26" t="s">
        <v>505</v>
      </c>
      <c r="E158" s="26" t="s">
        <v>506</v>
      </c>
      <c r="F158" s="26" t="s">
        <v>562</v>
      </c>
      <c r="H158" s="27">
        <f>IF(AND(VLOOKUP(A158,MasterMaterials!A:J,10,FALSE)&lt;&gt;"",VLOOKUP(A158,MasterMaterials!A:J,10,FALSE)&lt;&gt;0),VLOOKUP(A158,MasterMaterials!A:J,10,FALSE),ROUND(I158*1.15/0.688,2))</f>
        <v>50</v>
      </c>
      <c r="I158" s="28">
        <f>VLOOKUP(A158,MasterMaterials!A:I,9,FALSE)</f>
        <v>32.9</v>
      </c>
      <c r="J158" s="26" t="s">
        <v>609</v>
      </c>
      <c r="M158" s="26" t="s">
        <v>353</v>
      </c>
    </row>
    <row r="159" ht="22.5" customHeight="1">
      <c r="A159" s="26" t="s">
        <v>355</v>
      </c>
      <c r="D159" s="26" t="s">
        <v>505</v>
      </c>
      <c r="E159" s="26" t="s">
        <v>506</v>
      </c>
      <c r="F159" s="26" t="s">
        <v>507</v>
      </c>
      <c r="H159" s="27">
        <f>IF(AND(VLOOKUP(A159,MasterMaterials!A:J,10,FALSE)&lt;&gt;"",VLOOKUP(A159,MasterMaterials!A:J,10,FALSE)&lt;&gt;0),VLOOKUP(A159,MasterMaterials!A:J,10,FALSE),ROUND(I159*1.15/0.688,2))</f>
        <v>144.32</v>
      </c>
      <c r="I159" s="28">
        <f>VLOOKUP(A159,MasterMaterials!A:I,9,FALSE)</f>
        <v>75.05</v>
      </c>
      <c r="J159" s="26" t="s">
        <v>507</v>
      </c>
      <c r="M159" s="26" t="s">
        <v>659</v>
      </c>
    </row>
    <row r="160" ht="22.5" customHeight="1">
      <c r="A160" s="26" t="s">
        <v>357</v>
      </c>
      <c r="D160" s="26" t="s">
        <v>505</v>
      </c>
      <c r="E160" s="26" t="s">
        <v>506</v>
      </c>
      <c r="F160" s="26" t="s">
        <v>507</v>
      </c>
      <c r="H160" s="27">
        <f>IF(AND(VLOOKUP(A160,MasterMaterials!A:J,10,FALSE)&lt;&gt;"",VLOOKUP(A160,MasterMaterials!A:J,10,FALSE)&lt;&gt;0),VLOOKUP(A160,MasterMaterials!A:J,10,FALSE),ROUND(I160*1.15/0.688,2))</f>
        <v>12.65</v>
      </c>
      <c r="I160" s="28">
        <f>VLOOKUP(A160,MasterMaterials!A:I,9,FALSE)</f>
        <v>8.36</v>
      </c>
      <c r="J160" s="26" t="s">
        <v>507</v>
      </c>
      <c r="M160" s="26" t="s">
        <v>357</v>
      </c>
    </row>
    <row r="161" ht="22.5" customHeight="1">
      <c r="A161" s="6" t="s">
        <v>359</v>
      </c>
      <c r="D161" s="26" t="s">
        <v>505</v>
      </c>
      <c r="E161" s="26" t="s">
        <v>506</v>
      </c>
      <c r="F161" s="26" t="s">
        <v>507</v>
      </c>
      <c r="H161" s="27">
        <f>IF(AND(VLOOKUP(A161,MasterMaterials!A:J,10,FALSE)&lt;&gt;"",VLOOKUP(A161,MasterMaterials!A:J,10,FALSE)&lt;&gt;0),VLOOKUP(A161,MasterMaterials!A:J,10,FALSE),ROUND(I161*1.15/0.688,2))</f>
        <v>148.62</v>
      </c>
      <c r="I161" s="28">
        <f>VLOOKUP(A161,MasterMaterials!A:I,9,FALSE)</f>
        <v>74.31</v>
      </c>
      <c r="J161" s="26" t="s">
        <v>507</v>
      </c>
      <c r="M161" s="26" t="s">
        <v>660</v>
      </c>
    </row>
    <row r="162" ht="22.5" customHeight="1">
      <c r="A162" s="26" t="s">
        <v>361</v>
      </c>
      <c r="D162" s="26" t="s">
        <v>505</v>
      </c>
      <c r="E162" s="26" t="s">
        <v>506</v>
      </c>
      <c r="F162" s="26" t="s">
        <v>507</v>
      </c>
      <c r="H162" s="27">
        <f>IF(AND(VLOOKUP(A162,MasterMaterials!A:J,10,FALSE)&lt;&gt;"",VLOOKUP(A162,MasterMaterials!A:J,10,FALSE)&lt;&gt;0),VLOOKUP(A162,MasterMaterials!A:J,10,FALSE),ROUND(I162*1.15/0.688,2))</f>
        <v>273.65</v>
      </c>
      <c r="I162" s="28">
        <f>VLOOKUP(A162,MasterMaterials!A:I,9,FALSE)</f>
        <v>136.82</v>
      </c>
      <c r="J162" s="26" t="s">
        <v>507</v>
      </c>
      <c r="M162" s="26" t="s">
        <v>361</v>
      </c>
    </row>
    <row r="163" ht="22.5" customHeight="1">
      <c r="A163" s="26" t="s">
        <v>363</v>
      </c>
      <c r="D163" s="26" t="s">
        <v>505</v>
      </c>
      <c r="E163" s="26" t="s">
        <v>506</v>
      </c>
      <c r="F163" s="26" t="s">
        <v>524</v>
      </c>
      <c r="H163" s="27">
        <f>IF(AND(VLOOKUP(A163,MasterMaterials!A:J,10,FALSE)&lt;&gt;"",VLOOKUP(A163,MasterMaterials!A:J,10,FALSE)&lt;&gt;0),VLOOKUP(A163,MasterMaterials!A:J,10,FALSE),ROUND(I163*1.15/0.688,2))</f>
        <v>1.2</v>
      </c>
      <c r="I163" s="28">
        <f>VLOOKUP(A163,MasterMaterials!A:I,9,FALSE)</f>
        <v>0.43</v>
      </c>
      <c r="J163" s="26" t="s">
        <v>600</v>
      </c>
      <c r="M163" s="26" t="s">
        <v>661</v>
      </c>
    </row>
    <row r="164" ht="22.5" customHeight="1">
      <c r="A164" s="26" t="s">
        <v>365</v>
      </c>
      <c r="D164" s="26" t="s">
        <v>505</v>
      </c>
      <c r="E164" s="26" t="s">
        <v>506</v>
      </c>
      <c r="F164" s="26" t="s">
        <v>524</v>
      </c>
      <c r="H164" s="27">
        <f>IF(AND(VLOOKUP(A164,MasterMaterials!A:J,10,FALSE)&lt;&gt;"",VLOOKUP(A164,MasterMaterials!A:J,10,FALSE)&lt;&gt;0),VLOOKUP(A164,MasterMaterials!A:J,10,FALSE),ROUND(I164*1.15/0.688,2))</f>
        <v>40.12</v>
      </c>
      <c r="I164" s="28">
        <f>VLOOKUP(A164,MasterMaterials!A:I,9,FALSE)</f>
        <v>24</v>
      </c>
      <c r="J164" s="26" t="s">
        <v>564</v>
      </c>
      <c r="M164" s="26" t="s">
        <v>662</v>
      </c>
    </row>
    <row r="165" ht="22.5" customHeight="1">
      <c r="A165" s="26" t="s">
        <v>367</v>
      </c>
      <c r="D165" s="26" t="s">
        <v>505</v>
      </c>
      <c r="E165" s="26" t="s">
        <v>506</v>
      </c>
      <c r="F165" s="26" t="s">
        <v>562</v>
      </c>
      <c r="H165" s="27">
        <f>IF(AND(VLOOKUP(A165,MasterMaterials!A:J,10,FALSE)&lt;&gt;"",VLOOKUP(A165,MasterMaterials!A:J,10,FALSE)&lt;&gt;0),VLOOKUP(A165,MasterMaterials!A:J,10,FALSE),ROUND(I165*1.15/0.688,2))</f>
        <v>47</v>
      </c>
      <c r="I165" s="28">
        <f>VLOOKUP(A165,MasterMaterials!A:I,9,FALSE)</f>
        <v>47</v>
      </c>
      <c r="J165" s="26" t="s">
        <v>604</v>
      </c>
      <c r="M165" s="26" t="s">
        <v>663</v>
      </c>
    </row>
    <row r="166" ht="22.5" customHeight="1">
      <c r="A166" s="26" t="s">
        <v>369</v>
      </c>
      <c r="D166" s="26" t="s">
        <v>505</v>
      </c>
      <c r="E166" s="26" t="s">
        <v>506</v>
      </c>
      <c r="F166" s="26" t="s">
        <v>562</v>
      </c>
      <c r="H166" s="27">
        <f>IF(AND(VLOOKUP(A166,MasterMaterials!A:J,10,FALSE)&lt;&gt;"",VLOOKUP(A166,MasterMaterials!A:J,10,FALSE)&lt;&gt;0),VLOOKUP(A166,MasterMaterials!A:J,10,FALSE),ROUND(I166*1.15/0.688,2))</f>
        <v>32.46</v>
      </c>
      <c r="I166" s="28">
        <f>VLOOKUP(A166,MasterMaterials!A:I,9,FALSE)</f>
        <v>25.97</v>
      </c>
      <c r="J166" s="26" t="s">
        <v>609</v>
      </c>
      <c r="M166" s="26" t="s">
        <v>664</v>
      </c>
    </row>
    <row r="167" ht="22.5" customHeight="1">
      <c r="A167" s="26" t="s">
        <v>371</v>
      </c>
      <c r="D167" s="26" t="s">
        <v>505</v>
      </c>
      <c r="E167" s="26" t="s">
        <v>506</v>
      </c>
      <c r="F167" s="26" t="s">
        <v>524</v>
      </c>
      <c r="H167" s="27">
        <f>IF(AND(VLOOKUP(A167,MasterMaterials!A:J,10,FALSE)&lt;&gt;"",VLOOKUP(A167,MasterMaterials!A:J,10,FALSE)&lt;&gt;0),VLOOKUP(A167,MasterMaterials!A:J,10,FALSE),ROUND(I167*1.15/0.688,2))</f>
        <v>650</v>
      </c>
      <c r="I167" s="28">
        <f>VLOOKUP(A167,MasterMaterials!A:I,9,FALSE)</f>
        <v>450</v>
      </c>
      <c r="J167" s="26" t="s">
        <v>553</v>
      </c>
      <c r="M167" s="26" t="s">
        <v>665</v>
      </c>
    </row>
    <row r="168" ht="22.5" customHeight="1">
      <c r="A168" s="26" t="s">
        <v>373</v>
      </c>
      <c r="D168" s="26" t="s">
        <v>505</v>
      </c>
      <c r="E168" s="26" t="s">
        <v>506</v>
      </c>
      <c r="F168" s="26" t="s">
        <v>566</v>
      </c>
      <c r="H168" s="27">
        <f>IF(AND(VLOOKUP(A168,MasterMaterials!A:J,10,FALSE)&lt;&gt;"",VLOOKUP(A168,MasterMaterials!A:J,10,FALSE)&lt;&gt;0),VLOOKUP(A168,MasterMaterials!A:J,10,FALSE),ROUND(I168*1.15/0.688,2))</f>
        <v>13.37</v>
      </c>
      <c r="I168" s="28">
        <f>VLOOKUP(A168,MasterMaterials!A:I,9,FALSE)</f>
        <v>8</v>
      </c>
      <c r="J168" s="26" t="s">
        <v>603</v>
      </c>
      <c r="M168" s="26" t="s">
        <v>666</v>
      </c>
    </row>
    <row r="169" ht="22.5" customHeight="1">
      <c r="A169" s="26" t="s">
        <v>376</v>
      </c>
      <c r="D169" s="26" t="s">
        <v>505</v>
      </c>
      <c r="E169" s="26" t="s">
        <v>506</v>
      </c>
      <c r="F169" s="26" t="s">
        <v>566</v>
      </c>
      <c r="H169" s="27">
        <f>IF(AND(VLOOKUP(A169,MasterMaterials!A:J,10,FALSE)&lt;&gt;"",VLOOKUP(A169,MasterMaterials!A:J,10,FALSE)&lt;&gt;0),VLOOKUP(A169,MasterMaterials!A:J,10,FALSE),ROUND(I169*1.15/0.688,2))</f>
        <v>20.06</v>
      </c>
      <c r="I169" s="28">
        <f>VLOOKUP(A169,MasterMaterials!A:I,9,FALSE)</f>
        <v>12</v>
      </c>
      <c r="J169" s="26" t="s">
        <v>603</v>
      </c>
      <c r="M169" s="26" t="s">
        <v>667</v>
      </c>
    </row>
    <row r="170" ht="22.5" customHeight="1">
      <c r="A170" s="26" t="s">
        <v>378</v>
      </c>
      <c r="D170" s="26" t="s">
        <v>505</v>
      </c>
      <c r="E170" s="26" t="s">
        <v>506</v>
      </c>
      <c r="F170" s="26" t="s">
        <v>534</v>
      </c>
      <c r="H170" s="27">
        <f>IF(AND(VLOOKUP(A170,MasterMaterials!A:J,10,FALSE)&lt;&gt;"",VLOOKUP(A170,MasterMaterials!A:J,10,FALSE)&lt;&gt;0),VLOOKUP(A170,MasterMaterials!A:J,10,FALSE),ROUND(I170*1.15/0.688,2))</f>
        <v>159.3</v>
      </c>
      <c r="I170" s="28">
        <f>VLOOKUP(A170,MasterMaterials!A:I,9,FALSE)</f>
        <v>90</v>
      </c>
      <c r="J170" s="26" t="s">
        <v>622</v>
      </c>
      <c r="M170" s="26" t="s">
        <v>668</v>
      </c>
    </row>
    <row r="171" ht="22.5" customHeight="1">
      <c r="A171" s="26" t="s">
        <v>380</v>
      </c>
      <c r="D171" s="26" t="s">
        <v>505</v>
      </c>
      <c r="E171" s="26" t="s">
        <v>506</v>
      </c>
      <c r="F171" s="26" t="s">
        <v>534</v>
      </c>
      <c r="H171" s="27">
        <f>IF(AND(VLOOKUP(A171,MasterMaterials!A:J,10,FALSE)&lt;&gt;"",VLOOKUP(A171,MasterMaterials!A:J,10,FALSE)&lt;&gt;0),VLOOKUP(A171,MasterMaterials!A:J,10,FALSE),ROUND(I171*1.15/0.688,2))</f>
        <v>44.25</v>
      </c>
      <c r="I171" s="28">
        <f>VLOOKUP(A171,MasterMaterials!A:I,9,FALSE)</f>
        <v>25</v>
      </c>
      <c r="J171" s="26" t="s">
        <v>622</v>
      </c>
      <c r="M171" s="26" t="s">
        <v>669</v>
      </c>
    </row>
    <row r="172" ht="22.5" customHeight="1">
      <c r="A172" s="26" t="s">
        <v>382</v>
      </c>
      <c r="D172" s="26" t="s">
        <v>505</v>
      </c>
      <c r="E172" s="26" t="s">
        <v>506</v>
      </c>
      <c r="F172" s="26" t="s">
        <v>534</v>
      </c>
      <c r="H172" s="27">
        <f>IF(AND(VLOOKUP(A172,MasterMaterials!A:J,10,FALSE)&lt;&gt;"",VLOOKUP(A172,MasterMaterials!A:J,10,FALSE)&lt;&gt;0),VLOOKUP(A172,MasterMaterials!A:J,10,FALSE),ROUND(I172*1.15/0.688,2))</f>
        <v>62</v>
      </c>
      <c r="I172" s="28">
        <f>VLOOKUP(A172,MasterMaterials!A:I,9,FALSE)</f>
        <v>35</v>
      </c>
      <c r="J172" s="26" t="s">
        <v>622</v>
      </c>
      <c r="M172" s="26" t="s">
        <v>670</v>
      </c>
    </row>
    <row r="173" ht="22.5" customHeight="1">
      <c r="A173" s="26" t="s">
        <v>384</v>
      </c>
      <c r="D173" s="26" t="s">
        <v>505</v>
      </c>
      <c r="E173" s="26" t="s">
        <v>506</v>
      </c>
      <c r="F173" s="26" t="s">
        <v>534</v>
      </c>
      <c r="H173" s="27">
        <f>IF(AND(VLOOKUP(A173,MasterMaterials!A:J,10,FALSE)&lt;&gt;"",VLOOKUP(A173,MasterMaterials!A:J,10,FALSE)&lt;&gt;0),VLOOKUP(A173,MasterMaterials!A:J,10,FALSE),ROUND(I173*1.15/0.688,2))</f>
        <v>127.44</v>
      </c>
      <c r="I173" s="28">
        <f>VLOOKUP(A173,MasterMaterials!A:I,9,FALSE)</f>
        <v>72</v>
      </c>
      <c r="J173" s="26" t="s">
        <v>622</v>
      </c>
      <c r="M173" s="26" t="s">
        <v>671</v>
      </c>
    </row>
    <row r="174" ht="22.5" customHeight="1">
      <c r="A174" s="26" t="s">
        <v>386</v>
      </c>
      <c r="D174" s="26" t="s">
        <v>505</v>
      </c>
      <c r="E174" s="26" t="s">
        <v>506</v>
      </c>
      <c r="F174" s="26" t="s">
        <v>534</v>
      </c>
      <c r="H174" s="27">
        <f>IF(AND(VLOOKUP(A174,MasterMaterials!A:J,10,FALSE)&lt;&gt;"",VLOOKUP(A174,MasterMaterials!A:J,10,FALSE)&lt;&gt;0),VLOOKUP(A174,MasterMaterials!A:J,10,FALSE),ROUND(I174*1.15/0.688,2))</f>
        <v>501.45</v>
      </c>
      <c r="I174" s="28">
        <f>VLOOKUP(A174,MasterMaterials!A:I,9,FALSE)</f>
        <v>300</v>
      </c>
      <c r="J174" s="26" t="s">
        <v>622</v>
      </c>
      <c r="M174" s="26" t="s">
        <v>672</v>
      </c>
    </row>
    <row r="175" ht="22.5" customHeight="1">
      <c r="A175" s="26" t="s">
        <v>388</v>
      </c>
      <c r="D175" s="26" t="s">
        <v>505</v>
      </c>
      <c r="E175" s="26" t="s">
        <v>506</v>
      </c>
      <c r="F175" s="26" t="s">
        <v>534</v>
      </c>
      <c r="H175" s="27">
        <f>IF(AND(VLOOKUP(A175,MasterMaterials!A:J,10,FALSE)&lt;&gt;"",VLOOKUP(A175,MasterMaterials!A:J,10,FALSE)&lt;&gt;0),VLOOKUP(A175,MasterMaterials!A:J,10,FALSE),ROUND(I175*1.15/0.688,2))</f>
        <v>68.53</v>
      </c>
      <c r="I175" s="28">
        <f>VLOOKUP(A175,MasterMaterials!A:I,9,FALSE)</f>
        <v>41</v>
      </c>
      <c r="J175" s="26" t="s">
        <v>622</v>
      </c>
      <c r="M175" s="26" t="s">
        <v>673</v>
      </c>
    </row>
    <row r="176" ht="22.5" customHeight="1">
      <c r="A176" s="26" t="s">
        <v>390</v>
      </c>
      <c r="D176" s="26" t="s">
        <v>505</v>
      </c>
      <c r="E176" s="26" t="s">
        <v>506</v>
      </c>
      <c r="F176" s="26" t="s">
        <v>534</v>
      </c>
      <c r="H176" s="27">
        <f>IF(AND(VLOOKUP(A176,MasterMaterials!A:J,10,FALSE)&lt;&gt;"",VLOOKUP(A176,MasterMaterials!A:J,10,FALSE)&lt;&gt;0),VLOOKUP(A176,MasterMaterials!A:J,10,FALSE),ROUND(I176*1.15/0.688,2))</f>
        <v>130.38</v>
      </c>
      <c r="I176" s="28">
        <f>VLOOKUP(A176,MasterMaterials!A:I,9,FALSE)</f>
        <v>78</v>
      </c>
      <c r="J176" s="26" t="s">
        <v>622</v>
      </c>
      <c r="M176" s="26" t="s">
        <v>674</v>
      </c>
    </row>
    <row r="177" ht="22.5" customHeight="1">
      <c r="A177" s="26" t="s">
        <v>392</v>
      </c>
      <c r="D177" s="26" t="s">
        <v>505</v>
      </c>
      <c r="E177" s="26" t="s">
        <v>506</v>
      </c>
      <c r="F177" s="26" t="s">
        <v>534</v>
      </c>
      <c r="H177" s="27">
        <f>IF(AND(VLOOKUP(A177,MasterMaterials!A:J,10,FALSE)&lt;&gt;"",VLOOKUP(A177,MasterMaterials!A:J,10,FALSE)&lt;&gt;0),VLOOKUP(A177,MasterMaterials!A:J,10,FALSE),ROUND(I177*1.15/0.688,2))</f>
        <v>336.3</v>
      </c>
      <c r="I177" s="28">
        <f>VLOOKUP(A177,MasterMaterials!A:I,9,FALSE)</f>
        <v>190</v>
      </c>
      <c r="J177" s="26" t="s">
        <v>622</v>
      </c>
      <c r="M177" s="26" t="s">
        <v>675</v>
      </c>
    </row>
    <row r="178" ht="22.5" customHeight="1">
      <c r="A178" s="26" t="s">
        <v>394</v>
      </c>
      <c r="D178" s="26" t="s">
        <v>505</v>
      </c>
      <c r="E178" s="26" t="s">
        <v>506</v>
      </c>
      <c r="F178" s="26" t="s">
        <v>534</v>
      </c>
      <c r="H178" s="27">
        <f>IF(AND(VLOOKUP(A178,MasterMaterials!A:J,10,FALSE)&lt;&gt;"",VLOOKUP(A178,MasterMaterials!A:J,10,FALSE)&lt;&gt;0),VLOOKUP(A178,MasterMaterials!A:J,10,FALSE),ROUND(I178*1.15/0.688,2))</f>
        <v>359.31</v>
      </c>
      <c r="I178" s="28">
        <f>VLOOKUP(A178,MasterMaterials!A:I,9,FALSE)</f>
        <v>203</v>
      </c>
      <c r="J178" s="26" t="s">
        <v>622</v>
      </c>
      <c r="M178" s="26" t="s">
        <v>676</v>
      </c>
    </row>
    <row r="179" ht="22.5" customHeight="1">
      <c r="A179" s="26" t="s">
        <v>396</v>
      </c>
      <c r="D179" s="26" t="s">
        <v>505</v>
      </c>
      <c r="E179" s="26" t="s">
        <v>506</v>
      </c>
      <c r="F179" s="26" t="s">
        <v>507</v>
      </c>
      <c r="H179" s="27">
        <f>IF(AND(VLOOKUP(A179,MasterMaterials!A:J,10,FALSE)&lt;&gt;"",VLOOKUP(A179,MasterMaterials!A:J,10,FALSE)&lt;&gt;0),VLOOKUP(A179,MasterMaterials!A:J,10,FALSE),ROUND(I179*1.15/0.688,2))</f>
        <v>0.33</v>
      </c>
      <c r="I179" s="28">
        <f>VLOOKUP(A179,MasterMaterials!A:I,9,FALSE)</f>
        <v>0.06</v>
      </c>
      <c r="J179" s="26" t="s">
        <v>507</v>
      </c>
      <c r="M179" s="26" t="s">
        <v>677</v>
      </c>
    </row>
    <row r="180" ht="22.5" customHeight="1">
      <c r="A180" s="26" t="s">
        <v>398</v>
      </c>
      <c r="D180" s="26" t="s">
        <v>505</v>
      </c>
      <c r="E180" s="26" t="s">
        <v>506</v>
      </c>
      <c r="F180" s="26" t="s">
        <v>507</v>
      </c>
      <c r="H180" s="27">
        <f>IF(AND(VLOOKUP(A180,MasterMaterials!A:J,10,FALSE)&lt;&gt;"",VLOOKUP(A180,MasterMaterials!A:J,10,FALSE)&lt;&gt;0),VLOOKUP(A180,MasterMaterials!A:J,10,FALSE),ROUND(I180*1.15/0.688,2))</f>
        <v>8.59</v>
      </c>
      <c r="I180" s="28">
        <f>VLOOKUP(A180,MasterMaterials!A:I,9,FALSE)</f>
        <v>4.2</v>
      </c>
      <c r="J180" s="26" t="s">
        <v>507</v>
      </c>
      <c r="M180" s="26" t="s">
        <v>678</v>
      </c>
    </row>
    <row r="181" ht="22.5" customHeight="1">
      <c r="A181" s="26" t="s">
        <v>400</v>
      </c>
      <c r="D181" s="26" t="s">
        <v>505</v>
      </c>
      <c r="E181" s="26" t="s">
        <v>506</v>
      </c>
      <c r="F181" s="26" t="s">
        <v>507</v>
      </c>
      <c r="H181" s="27">
        <f>IF(AND(VLOOKUP(A181,MasterMaterials!A:J,10,FALSE)&lt;&gt;"",VLOOKUP(A181,MasterMaterials!A:J,10,FALSE)&lt;&gt;0),VLOOKUP(A181,MasterMaterials!A:J,10,FALSE),ROUND(I181*1.15/0.688,2))</f>
        <v>20.96</v>
      </c>
      <c r="I181" s="28">
        <f>VLOOKUP(A181,MasterMaterials!A:I,9,FALSE)</f>
        <v>10.13</v>
      </c>
      <c r="J181" s="26" t="s">
        <v>507</v>
      </c>
      <c r="M181" s="26" t="s">
        <v>679</v>
      </c>
    </row>
    <row r="182" ht="22.5" customHeight="1">
      <c r="A182" s="26" t="s">
        <v>402</v>
      </c>
      <c r="D182" s="26" t="s">
        <v>505</v>
      </c>
      <c r="E182" s="26" t="s">
        <v>506</v>
      </c>
      <c r="F182" s="26" t="s">
        <v>507</v>
      </c>
      <c r="H182" s="27">
        <f>IF(AND(VLOOKUP(A182,MasterMaterials!A:J,10,FALSE)&lt;&gt;"",VLOOKUP(A182,MasterMaterials!A:J,10,FALSE)&lt;&gt;0),VLOOKUP(A182,MasterMaterials!A:J,10,FALSE),ROUND(I182*1.15/0.688,2))</f>
        <v>24.89</v>
      </c>
      <c r="I182" s="28">
        <f>VLOOKUP(A182,MasterMaterials!A:I,9,FALSE)</f>
        <v>12.44</v>
      </c>
      <c r="J182" s="26" t="s">
        <v>507</v>
      </c>
      <c r="M182" s="26" t="s">
        <v>680</v>
      </c>
    </row>
    <row r="183" ht="22.5" customHeight="1">
      <c r="A183" s="26" t="s">
        <v>405</v>
      </c>
      <c r="D183" s="26" t="s">
        <v>505</v>
      </c>
      <c r="E183" s="26" t="s">
        <v>506</v>
      </c>
      <c r="F183" s="26" t="s">
        <v>507</v>
      </c>
      <c r="H183" s="27">
        <f>IF(AND(VLOOKUP(A183,MasterMaterials!A:J,10,FALSE)&lt;&gt;"",VLOOKUP(A183,MasterMaterials!A:J,10,FALSE)&lt;&gt;0),VLOOKUP(A183,MasterMaterials!A:J,10,FALSE),ROUND(I183*1.15/0.688,2))</f>
        <v>72.75</v>
      </c>
      <c r="I183" s="28">
        <f>VLOOKUP(A183,MasterMaterials!A:I,9,FALSE)</f>
        <v>37.83</v>
      </c>
      <c r="J183" s="26" t="s">
        <v>507</v>
      </c>
      <c r="M183" s="26" t="s">
        <v>681</v>
      </c>
    </row>
    <row r="184" ht="22.5" customHeight="1">
      <c r="A184" s="6" t="s">
        <v>407</v>
      </c>
      <c r="D184" s="26" t="s">
        <v>505</v>
      </c>
      <c r="E184" s="26" t="s">
        <v>506</v>
      </c>
      <c r="F184" s="26" t="s">
        <v>507</v>
      </c>
      <c r="H184" s="27">
        <f>IF(AND(VLOOKUP(A184,MasterMaterials!A:J,10,FALSE)&lt;&gt;"",VLOOKUP(A184,MasterMaterials!A:J,10,FALSE)&lt;&gt;0),VLOOKUP(A184,MasterMaterials!A:J,10,FALSE),ROUND(I184*1.15/0.688,2))</f>
        <v>32.68</v>
      </c>
      <c r="I184" s="28">
        <f>VLOOKUP(A184,MasterMaterials!A:I,9,FALSE)</f>
        <v>14.65</v>
      </c>
      <c r="J184" s="26" t="s">
        <v>507</v>
      </c>
      <c r="M184" s="6" t="s">
        <v>682</v>
      </c>
    </row>
    <row r="185" ht="22.5" customHeight="1">
      <c r="A185" s="26" t="s">
        <v>409</v>
      </c>
      <c r="D185" s="26" t="s">
        <v>505</v>
      </c>
      <c r="E185" s="26" t="s">
        <v>506</v>
      </c>
      <c r="F185" s="26" t="s">
        <v>534</v>
      </c>
      <c r="H185" s="27">
        <f>IF(AND(VLOOKUP(A185,MasterMaterials!A:J,10,FALSE)&lt;&gt;"",VLOOKUP(A185,MasterMaterials!A:J,10,FALSE)&lt;&gt;0),VLOOKUP(A185,MasterMaterials!A:J,10,FALSE),ROUND(I185*1.15/0.688,2))</f>
        <v>1230.2</v>
      </c>
      <c r="I185" s="28">
        <f>VLOOKUP(A185,MasterMaterials!A:I,9,FALSE)</f>
        <v>695</v>
      </c>
      <c r="J185" s="26" t="s">
        <v>535</v>
      </c>
      <c r="M185" s="26" t="s">
        <v>683</v>
      </c>
    </row>
    <row r="186" ht="22.5" customHeight="1">
      <c r="A186" s="26" t="s">
        <v>411</v>
      </c>
      <c r="D186" s="26" t="s">
        <v>505</v>
      </c>
      <c r="E186" s="26" t="s">
        <v>506</v>
      </c>
      <c r="F186" s="26" t="s">
        <v>534</v>
      </c>
      <c r="H186" s="27">
        <f>IF(AND(VLOOKUP(A186,MasterMaterials!A:J,10,FALSE)&lt;&gt;"",VLOOKUP(A186,MasterMaterials!A:J,10,FALSE)&lt;&gt;0),VLOOKUP(A186,MasterMaterials!A:J,10,FALSE),ROUND(I186*1.15/0.688,2))</f>
        <v>1504.5</v>
      </c>
      <c r="I186" s="28">
        <f>VLOOKUP(A186,MasterMaterials!A:I,9,FALSE)</f>
        <v>850</v>
      </c>
      <c r="J186" s="26" t="s">
        <v>535</v>
      </c>
      <c r="M186" s="26" t="s">
        <v>684</v>
      </c>
    </row>
    <row r="187" ht="22.5" customHeight="1">
      <c r="A187" s="26" t="s">
        <v>413</v>
      </c>
      <c r="D187" s="26" t="s">
        <v>505</v>
      </c>
      <c r="E187" s="26" t="s">
        <v>506</v>
      </c>
      <c r="F187" s="26" t="s">
        <v>534</v>
      </c>
      <c r="H187" s="27">
        <f>IF(AND(VLOOKUP(A187,MasterMaterials!A:J,10,FALSE)&lt;&gt;"",VLOOKUP(A187,MasterMaterials!A:J,10,FALSE)&lt;&gt;0),VLOOKUP(A187,MasterMaterials!A:J,10,FALSE),ROUND(I187*1.15/0.688,2))</f>
        <v>1911.6</v>
      </c>
      <c r="I187" s="28">
        <f>VLOOKUP(A187,MasterMaterials!A:I,9,FALSE)</f>
        <v>840</v>
      </c>
      <c r="J187" s="26" t="s">
        <v>535</v>
      </c>
      <c r="M187" s="26" t="s">
        <v>685</v>
      </c>
    </row>
    <row r="188" ht="22.5" customHeight="1">
      <c r="A188" s="26" t="s">
        <v>415</v>
      </c>
      <c r="D188" s="26" t="s">
        <v>505</v>
      </c>
      <c r="E188" s="26" t="s">
        <v>506</v>
      </c>
      <c r="F188" s="26" t="s">
        <v>534</v>
      </c>
      <c r="H188" s="27">
        <f>IF(AND(VLOOKUP(A188,MasterMaterials!A:J,10,FALSE)&lt;&gt;"",VLOOKUP(A188,MasterMaterials!A:J,10,FALSE)&lt;&gt;0),VLOOKUP(A188,MasterMaterials!A:J,10,FALSE),ROUND(I188*1.15/0.688,2))</f>
        <v>2655</v>
      </c>
      <c r="I188" s="28">
        <f>VLOOKUP(A188,MasterMaterials!A:I,9,FALSE)</f>
        <v>960</v>
      </c>
      <c r="J188" s="26" t="s">
        <v>535</v>
      </c>
      <c r="M188" s="26" t="s">
        <v>686</v>
      </c>
    </row>
    <row r="189" ht="22.5" customHeight="1">
      <c r="A189" s="26" t="s">
        <v>417</v>
      </c>
      <c r="D189" s="26" t="s">
        <v>505</v>
      </c>
      <c r="E189" s="26" t="s">
        <v>506</v>
      </c>
      <c r="F189" s="26" t="s">
        <v>534</v>
      </c>
      <c r="H189" s="27">
        <f>IF(AND(VLOOKUP(A189,MasterMaterials!A:J,10,FALSE)&lt;&gt;"",VLOOKUP(A189,MasterMaterials!A:J,10,FALSE)&lt;&gt;0),VLOOKUP(A189,MasterMaterials!A:J,10,FALSE),ROUND(I189*1.15/0.688,2))</f>
        <v>3310</v>
      </c>
      <c r="I189" s="28">
        <f>VLOOKUP(A189,MasterMaterials!A:I,9,FALSE)</f>
        <v>1080</v>
      </c>
      <c r="J189" s="26" t="s">
        <v>535</v>
      </c>
      <c r="M189" s="26" t="s">
        <v>687</v>
      </c>
    </row>
    <row r="190" ht="22.5" customHeight="1">
      <c r="A190" s="26" t="s">
        <v>419</v>
      </c>
      <c r="D190" s="26" t="s">
        <v>505</v>
      </c>
      <c r="E190" s="26" t="s">
        <v>506</v>
      </c>
      <c r="F190" s="26" t="s">
        <v>534</v>
      </c>
      <c r="H190" s="27">
        <f>IF(AND(VLOOKUP(A190,MasterMaterials!A:J,10,FALSE)&lt;&gt;"",VLOOKUP(A190,MasterMaterials!A:J,10,FALSE)&lt;&gt;0),VLOOKUP(A190,MasterMaterials!A:J,10,FALSE),ROUND(I190*1.15/0.688,2))</f>
        <v>4186</v>
      </c>
      <c r="I190" s="28">
        <f>VLOOKUP(A190,MasterMaterials!A:I,9,FALSE)</f>
        <v>1200</v>
      </c>
      <c r="J190" s="26" t="s">
        <v>535</v>
      </c>
      <c r="M190" s="26" t="s">
        <v>688</v>
      </c>
    </row>
    <row r="191" ht="22.5" customHeight="1">
      <c r="A191" s="26" t="s">
        <v>421</v>
      </c>
      <c r="D191" s="26" t="s">
        <v>505</v>
      </c>
      <c r="E191" s="26" t="s">
        <v>506</v>
      </c>
      <c r="F191" s="26" t="s">
        <v>534</v>
      </c>
      <c r="H191" s="27">
        <f>IF(AND(VLOOKUP(A191,MasterMaterials!A:J,10,FALSE)&lt;&gt;"",VLOOKUP(A191,MasterMaterials!A:J,10,FALSE)&lt;&gt;0),VLOOKUP(A191,MasterMaterials!A:J,10,FALSE),ROUND(I191*1.15/0.688,2))</f>
        <v>4974</v>
      </c>
      <c r="I191" s="28">
        <f>VLOOKUP(A191,MasterMaterials!A:I,9,FALSE)</f>
        <v>1320</v>
      </c>
      <c r="J191" s="26" t="s">
        <v>535</v>
      </c>
      <c r="M191" s="26" t="s">
        <v>689</v>
      </c>
    </row>
    <row r="192" ht="22.5" customHeight="1">
      <c r="A192" s="26" t="s">
        <v>423</v>
      </c>
      <c r="D192" s="26" t="s">
        <v>505</v>
      </c>
      <c r="E192" s="26" t="s">
        <v>506</v>
      </c>
      <c r="F192" s="26" t="s">
        <v>534</v>
      </c>
      <c r="H192" s="27">
        <f>IF(AND(VLOOKUP(A192,MasterMaterials!A:J,10,FALSE)&lt;&gt;"",VLOOKUP(A192,MasterMaterials!A:J,10,FALSE)&lt;&gt;0),VLOOKUP(A192,MasterMaterials!A:J,10,FALSE),ROUND(I192*1.15/0.688,2))</f>
        <v>442.5</v>
      </c>
      <c r="I192" s="28">
        <f>VLOOKUP(A192,MasterMaterials!A:I,9,FALSE)</f>
        <v>250</v>
      </c>
      <c r="J192" s="26" t="s">
        <v>535</v>
      </c>
      <c r="M192" s="26" t="s">
        <v>690</v>
      </c>
    </row>
    <row r="193" ht="22.5" customHeight="1">
      <c r="A193" s="26" t="s">
        <v>425</v>
      </c>
      <c r="D193" s="26" t="s">
        <v>505</v>
      </c>
      <c r="E193" s="26" t="s">
        <v>506</v>
      </c>
      <c r="F193" s="26" t="s">
        <v>534</v>
      </c>
      <c r="H193" s="27">
        <f>IF(AND(VLOOKUP(A193,MasterMaterials!A:J,10,FALSE)&lt;&gt;"",VLOOKUP(A193,MasterMaterials!A:J,10,FALSE)&lt;&gt;0),VLOOKUP(A193,MasterMaterials!A:J,10,FALSE),ROUND(I193*1.15/0.688,2))</f>
        <v>549</v>
      </c>
      <c r="I193" s="28">
        <f>VLOOKUP(A193,MasterMaterials!A:I,9,FALSE)</f>
        <v>310</v>
      </c>
      <c r="J193" s="26" t="s">
        <v>535</v>
      </c>
      <c r="M193" s="26" t="s">
        <v>691</v>
      </c>
    </row>
    <row r="194" ht="22.5" customHeight="1">
      <c r="A194" s="26" t="s">
        <v>427</v>
      </c>
      <c r="D194" s="26" t="s">
        <v>505</v>
      </c>
      <c r="E194" s="26" t="s">
        <v>506</v>
      </c>
      <c r="F194" s="26" t="s">
        <v>534</v>
      </c>
      <c r="H194" s="27">
        <f>IF(AND(VLOOKUP(A194,MasterMaterials!A:J,10,FALSE)&lt;&gt;"",VLOOKUP(A194,MasterMaterials!A:J,10,FALSE)&lt;&gt;0),VLOOKUP(A194,MasterMaterials!A:J,10,FALSE),ROUND(I194*1.15/0.688,2))</f>
        <v>752</v>
      </c>
      <c r="I194" s="28">
        <f>VLOOKUP(A194,MasterMaterials!A:I,9,FALSE)</f>
        <v>425</v>
      </c>
      <c r="J194" s="26" t="s">
        <v>535</v>
      </c>
      <c r="M194" s="26" t="s">
        <v>692</v>
      </c>
    </row>
    <row r="195" ht="22.5" customHeight="1">
      <c r="A195" s="26" t="s">
        <v>429</v>
      </c>
      <c r="D195" s="26" t="s">
        <v>505</v>
      </c>
      <c r="E195" s="26" t="s">
        <v>506</v>
      </c>
      <c r="F195" s="26" t="s">
        <v>524</v>
      </c>
      <c r="H195" s="27">
        <f>IF(AND(VLOOKUP(A195,MasterMaterials!A:J,10,FALSE)&lt;&gt;"",VLOOKUP(A195,MasterMaterials!A:J,10,FALSE)&lt;&gt;0),VLOOKUP(A195,MasterMaterials!A:J,10,FALSE),ROUND(I195*1.15/0.688,2))</f>
        <v>215.63</v>
      </c>
      <c r="I195" s="28">
        <f>VLOOKUP(A195,MasterMaterials!A:I,9,FALSE)</f>
        <v>129</v>
      </c>
      <c r="J195" s="26" t="s">
        <v>564</v>
      </c>
      <c r="M195" s="26" t="s">
        <v>693</v>
      </c>
    </row>
    <row r="196" ht="22.5" customHeight="1">
      <c r="A196" s="26" t="s">
        <v>431</v>
      </c>
      <c r="D196" s="26" t="s">
        <v>505</v>
      </c>
      <c r="E196" s="26" t="s">
        <v>506</v>
      </c>
      <c r="F196" s="26" t="s">
        <v>507</v>
      </c>
      <c r="H196" s="27">
        <f>IF(AND(VLOOKUP(A196,MasterMaterials!A:J,10,FALSE)&lt;&gt;"",VLOOKUP(A196,MasterMaterials!A:J,10,FALSE)&lt;&gt;0),VLOOKUP(A196,MasterMaterials!A:J,10,FALSE),ROUND(I196*1.15/0.688,2))</f>
        <v>1.1</v>
      </c>
      <c r="I196" s="28">
        <f>VLOOKUP(A196,MasterMaterials!A:I,9,FALSE)</f>
        <v>1.1</v>
      </c>
      <c r="J196" s="26" t="s">
        <v>507</v>
      </c>
      <c r="M196" s="26" t="s">
        <v>694</v>
      </c>
    </row>
    <row r="197" ht="22.5" customHeight="1">
      <c r="A197" s="26" t="s">
        <v>433</v>
      </c>
      <c r="D197" s="26" t="s">
        <v>505</v>
      </c>
      <c r="E197" s="26" t="s">
        <v>506</v>
      </c>
      <c r="F197" s="26" t="s">
        <v>507</v>
      </c>
      <c r="H197" s="27">
        <f>IF(AND(VLOOKUP(A197,MasterMaterials!A:J,10,FALSE)&lt;&gt;"",VLOOKUP(A197,MasterMaterials!A:J,10,FALSE)&lt;&gt;0),VLOOKUP(A197,MasterMaterials!A:J,10,FALSE),ROUND(I197*1.15/0.688,2))</f>
        <v>0.51</v>
      </c>
      <c r="I197" s="28">
        <f>VLOOKUP(A197,MasterMaterials!A:I,9,FALSE)</f>
        <v>0.51</v>
      </c>
      <c r="J197" s="26" t="s">
        <v>507</v>
      </c>
      <c r="M197" s="26" t="s">
        <v>695</v>
      </c>
    </row>
    <row r="198" ht="22.5" customHeight="1">
      <c r="A198" s="26" t="s">
        <v>435</v>
      </c>
      <c r="D198" s="26" t="s">
        <v>505</v>
      </c>
      <c r="E198" s="26" t="s">
        <v>506</v>
      </c>
      <c r="F198" s="26" t="s">
        <v>524</v>
      </c>
      <c r="H198" s="27">
        <f>IF(AND(VLOOKUP(A198,MasterMaterials!A:J,10,FALSE)&lt;&gt;"",VLOOKUP(A198,MasterMaterials!A:J,10,FALSE)&lt;&gt;0),VLOOKUP(A198,MasterMaterials!A:J,10,FALSE),ROUND(I198*1.15/0.688,2))</f>
        <v>12</v>
      </c>
      <c r="I198" s="28">
        <f>VLOOKUP(A198,MasterMaterials!A:I,9,FALSE)</f>
        <v>10.18</v>
      </c>
      <c r="J198" s="26" t="s">
        <v>542</v>
      </c>
      <c r="M198" s="26" t="s">
        <v>696</v>
      </c>
    </row>
    <row r="199" ht="22.5" customHeight="1">
      <c r="A199" s="26" t="s">
        <v>437</v>
      </c>
      <c r="D199" s="26" t="s">
        <v>505</v>
      </c>
      <c r="E199" s="26" t="s">
        <v>506</v>
      </c>
      <c r="F199" s="26" t="s">
        <v>566</v>
      </c>
      <c r="H199" s="27">
        <f>IF(AND(VLOOKUP(A199,MasterMaterials!A:J,10,FALSE)&lt;&gt;"",VLOOKUP(A199,MasterMaterials!A:J,10,FALSE)&lt;&gt;0),VLOOKUP(A199,MasterMaterials!A:J,10,FALSE),ROUND(I199*1.15/0.688,2))</f>
        <v>46.8</v>
      </c>
      <c r="I199" s="28">
        <f>VLOOKUP(A199,MasterMaterials!A:I,9,FALSE)</f>
        <v>28</v>
      </c>
      <c r="J199" s="26" t="s">
        <v>542</v>
      </c>
      <c r="M199" s="26" t="s">
        <v>697</v>
      </c>
    </row>
    <row r="200" ht="22.5" customHeight="1">
      <c r="A200" s="26" t="s">
        <v>439</v>
      </c>
      <c r="D200" s="26" t="s">
        <v>505</v>
      </c>
      <c r="E200" s="26" t="s">
        <v>506</v>
      </c>
      <c r="F200" s="26" t="s">
        <v>566</v>
      </c>
      <c r="H200" s="27">
        <f>IF(AND(VLOOKUP(A200,MasterMaterials!A:J,10,FALSE)&lt;&gt;"",VLOOKUP(A200,MasterMaterials!A:J,10,FALSE)&lt;&gt;0),VLOOKUP(A200,MasterMaterials!A:J,10,FALSE),ROUND(I200*1.15/0.688,2))</f>
        <v>750</v>
      </c>
      <c r="I200" s="28">
        <f>VLOOKUP(A200,MasterMaterials!A:I,9,FALSE)</f>
        <v>650</v>
      </c>
      <c r="J200" s="26" t="s">
        <v>553</v>
      </c>
      <c r="M200" s="26" t="s">
        <v>698</v>
      </c>
    </row>
    <row r="201" ht="22.5" customHeight="1">
      <c r="A201" s="26" t="s">
        <v>441</v>
      </c>
      <c r="D201" s="26" t="s">
        <v>505</v>
      </c>
      <c r="E201" s="26" t="s">
        <v>506</v>
      </c>
      <c r="F201" s="26" t="s">
        <v>562</v>
      </c>
      <c r="H201" s="27">
        <f>IF(AND(VLOOKUP(A201,MasterMaterials!A:J,10,FALSE)&lt;&gt;"",VLOOKUP(A201,MasterMaterials!A:J,10,FALSE)&lt;&gt;0),VLOOKUP(A201,MasterMaterials!A:J,10,FALSE),ROUND(I201*1.15/0.688,2))</f>
        <v>0.1</v>
      </c>
      <c r="I201" s="28">
        <f>VLOOKUP(A201,MasterMaterials!A:I,9,FALSE)</f>
        <v>0.1</v>
      </c>
      <c r="J201" s="26" t="s">
        <v>542</v>
      </c>
      <c r="M201" s="26" t="s">
        <v>699</v>
      </c>
    </row>
    <row r="202" ht="22.5" customHeight="1">
      <c r="A202" s="26" t="s">
        <v>443</v>
      </c>
      <c r="D202" s="26" t="s">
        <v>505</v>
      </c>
      <c r="E202" s="26" t="s">
        <v>506</v>
      </c>
      <c r="F202" s="26" t="s">
        <v>507</v>
      </c>
      <c r="H202" s="27">
        <f>IF(AND(VLOOKUP(A202,MasterMaterials!A:J,10,FALSE)&lt;&gt;"",VLOOKUP(A202,MasterMaterials!A:J,10,FALSE)&lt;&gt;0),VLOOKUP(A202,MasterMaterials!A:J,10,FALSE),ROUND(I202*1.15/0.688,2))</f>
        <v>9.63</v>
      </c>
      <c r="I202" s="28">
        <f>VLOOKUP(A202,MasterMaterials!A:I,9,FALSE)</f>
        <v>3.63</v>
      </c>
      <c r="J202" s="26" t="s">
        <v>507</v>
      </c>
      <c r="M202" s="26" t="s">
        <v>445</v>
      </c>
    </row>
    <row r="203" ht="22.5" customHeight="1">
      <c r="A203" s="26" t="s">
        <v>446</v>
      </c>
      <c r="D203" s="26" t="s">
        <v>505</v>
      </c>
      <c r="E203" s="26" t="s">
        <v>506</v>
      </c>
      <c r="F203" s="26" t="s">
        <v>507</v>
      </c>
      <c r="H203" s="27">
        <f>IF(AND(VLOOKUP(A203,MasterMaterials!A:J,10,FALSE)&lt;&gt;"",VLOOKUP(A203,MasterMaterials!A:J,10,FALSE)&lt;&gt;0),VLOOKUP(A203,MasterMaterials!A:J,10,FALSE),ROUND(I203*1.15/0.688,2))</f>
        <v>47.92</v>
      </c>
      <c r="I203" s="28">
        <f>VLOOKUP(A203,MasterMaterials!A:I,9,FALSE)</f>
        <v>23.96</v>
      </c>
      <c r="J203" s="26" t="s">
        <v>507</v>
      </c>
      <c r="M203" s="26" t="s">
        <v>448</v>
      </c>
    </row>
    <row r="204" ht="22.5" customHeight="1">
      <c r="A204" s="26" t="s">
        <v>449</v>
      </c>
      <c r="D204" s="26" t="s">
        <v>505</v>
      </c>
      <c r="E204" s="26" t="s">
        <v>506</v>
      </c>
      <c r="F204" s="26" t="s">
        <v>507</v>
      </c>
      <c r="H204" s="27">
        <f>IF(AND(VLOOKUP(A204,MasterMaterials!A:J,10,FALSE)&lt;&gt;"",VLOOKUP(A204,MasterMaterials!A:J,10,FALSE)&lt;&gt;0),VLOOKUP(A204,MasterMaterials!A:J,10,FALSE),ROUND(I204*1.15/0.688,2))</f>
        <v>149.6</v>
      </c>
      <c r="I204" s="28">
        <f>VLOOKUP(A204,MasterMaterials!A:I,9,FALSE)</f>
        <v>63.38</v>
      </c>
      <c r="J204" s="26" t="s">
        <v>507</v>
      </c>
      <c r="M204" s="26" t="s">
        <v>449</v>
      </c>
    </row>
    <row r="205" ht="22.5" customHeight="1">
      <c r="A205" s="26" t="s">
        <v>451</v>
      </c>
      <c r="D205" s="26" t="s">
        <v>505</v>
      </c>
      <c r="E205" s="26" t="s">
        <v>506</v>
      </c>
      <c r="F205" s="26" t="s">
        <v>507</v>
      </c>
      <c r="H205" s="27">
        <f>IF(AND(VLOOKUP(A205,MasterMaterials!A:J,10,FALSE)&lt;&gt;"",VLOOKUP(A205,MasterMaterials!A:J,10,FALSE)&lt;&gt;0),VLOOKUP(A205,MasterMaterials!A:J,10,FALSE),ROUND(I205*1.15/0.688,2))</f>
        <v>109.41</v>
      </c>
      <c r="I205" s="28">
        <f>VLOOKUP(A205,MasterMaterials!A:I,9,FALSE)</f>
        <v>38.29</v>
      </c>
      <c r="J205" s="26" t="s">
        <v>507</v>
      </c>
      <c r="M205" s="26" t="s">
        <v>453</v>
      </c>
    </row>
    <row r="206" ht="22.5" customHeight="1">
      <c r="A206" s="6" t="s">
        <v>454</v>
      </c>
      <c r="D206" s="26" t="s">
        <v>505</v>
      </c>
      <c r="E206" s="26" t="s">
        <v>506</v>
      </c>
      <c r="F206" s="26" t="s">
        <v>566</v>
      </c>
      <c r="H206" s="27">
        <f>IF(AND(VLOOKUP(A206,MasterMaterials!A:J,10,FALSE)&lt;&gt;"",VLOOKUP(A206,MasterMaterials!A:J,10,FALSE)&lt;&gt;0),VLOOKUP(A206,MasterMaterials!A:J,10,FALSE),ROUND(I206*1.15/0.688,2))</f>
        <v>0.25</v>
      </c>
      <c r="I206" s="28">
        <f>VLOOKUP(A206,MasterMaterials!A:I,9,FALSE)</f>
        <v>0.06</v>
      </c>
      <c r="J206" s="26" t="s">
        <v>507</v>
      </c>
      <c r="M206" s="26" t="s">
        <v>700</v>
      </c>
    </row>
    <row r="207" ht="22.5" customHeight="1">
      <c r="A207" s="26" t="s">
        <v>456</v>
      </c>
      <c r="D207" s="26" t="s">
        <v>505</v>
      </c>
      <c r="E207" s="26" t="s">
        <v>506</v>
      </c>
      <c r="F207" s="26" t="s">
        <v>566</v>
      </c>
      <c r="H207" s="27">
        <f>IF(AND(VLOOKUP(A207,MasterMaterials!A:J,10,FALSE)&lt;&gt;"",VLOOKUP(A207,MasterMaterials!A:J,10,FALSE)&lt;&gt;0),VLOOKUP(A207,MasterMaterials!A:J,10,FALSE),ROUND(I207*1.15/0.688,2))</f>
        <v>0.37</v>
      </c>
      <c r="I207" s="28">
        <f>VLOOKUP(A207,MasterMaterials!A:I,9,FALSE)</f>
        <v>0.17</v>
      </c>
      <c r="J207" s="26" t="s">
        <v>507</v>
      </c>
      <c r="M207" s="26" t="s">
        <v>701</v>
      </c>
    </row>
    <row r="208" ht="22.5" customHeight="1">
      <c r="A208" s="26" t="s">
        <v>458</v>
      </c>
      <c r="D208" s="26" t="s">
        <v>505</v>
      </c>
      <c r="E208" s="26" t="s">
        <v>506</v>
      </c>
      <c r="F208" s="26" t="s">
        <v>566</v>
      </c>
      <c r="H208" s="27">
        <f>IF(AND(VLOOKUP(A208,MasterMaterials!A:J,10,FALSE)&lt;&gt;"",VLOOKUP(A208,MasterMaterials!A:J,10,FALSE)&lt;&gt;0),VLOOKUP(A208,MasterMaterials!A:J,10,FALSE),ROUND(I208*1.15/0.688,2))</f>
        <v>167.15</v>
      </c>
      <c r="I208" s="28">
        <f>VLOOKUP(A208,MasterMaterials!A:I,9,FALSE)</f>
        <v>100</v>
      </c>
      <c r="J208" s="26" t="s">
        <v>507</v>
      </c>
      <c r="M208" s="26" t="s">
        <v>702</v>
      </c>
    </row>
    <row r="209" ht="22.5" customHeight="1">
      <c r="A209" s="26" t="s">
        <v>460</v>
      </c>
      <c r="D209" s="26" t="s">
        <v>505</v>
      </c>
      <c r="E209" s="26" t="s">
        <v>506</v>
      </c>
      <c r="F209" s="26" t="s">
        <v>507</v>
      </c>
      <c r="H209" s="27">
        <f>IF(AND(VLOOKUP(A209,MasterMaterials!A:J,10,FALSE)&lt;&gt;"",VLOOKUP(A209,MasterMaterials!A:J,10,FALSE)&lt;&gt;0),VLOOKUP(A209,MasterMaterials!A:J,10,FALSE),ROUND(I209*1.15/0.688,2))</f>
        <v>7.25</v>
      </c>
      <c r="I209" s="28">
        <f>VLOOKUP(A209,MasterMaterials!A:I,9,FALSE)</f>
        <v>4.34</v>
      </c>
      <c r="J209" s="26" t="s">
        <v>507</v>
      </c>
      <c r="M209" s="26" t="s">
        <v>703</v>
      </c>
    </row>
    <row r="210" ht="22.5" customHeight="1">
      <c r="A210" s="26" t="s">
        <v>462</v>
      </c>
      <c r="D210" s="26" t="s">
        <v>505</v>
      </c>
      <c r="E210" s="26" t="s">
        <v>506</v>
      </c>
      <c r="F210" s="26" t="s">
        <v>507</v>
      </c>
      <c r="H210" s="27">
        <f>IF(AND(VLOOKUP(A210,MasterMaterials!A:J,10,FALSE)&lt;&gt;"",VLOOKUP(A210,MasterMaterials!A:J,10,FALSE)&lt;&gt;0),VLOOKUP(A210,MasterMaterials!A:J,10,FALSE),ROUND(I210*1.15/0.688,2))</f>
        <v>2.61</v>
      </c>
      <c r="I210" s="28">
        <f>VLOOKUP(A210,MasterMaterials!A:I,9,FALSE)</f>
        <v>1.3</v>
      </c>
      <c r="J210" s="26" t="s">
        <v>507</v>
      </c>
      <c r="M210" s="26" t="s">
        <v>704</v>
      </c>
    </row>
    <row r="211" ht="22.5" customHeight="1">
      <c r="A211" s="26" t="s">
        <v>464</v>
      </c>
      <c r="D211" s="26" t="s">
        <v>505</v>
      </c>
      <c r="E211" s="26" t="s">
        <v>506</v>
      </c>
      <c r="F211" s="26" t="s">
        <v>507</v>
      </c>
      <c r="H211" s="27">
        <f>IF(AND(VLOOKUP(A211,MasterMaterials!A:J,10,FALSE)&lt;&gt;"",VLOOKUP(A211,MasterMaterials!A:J,10,FALSE)&lt;&gt;0),VLOOKUP(A211,MasterMaterials!A:J,10,FALSE),ROUND(I211*1.15/0.688,2))</f>
        <v>1.2</v>
      </c>
      <c r="I211" s="28">
        <f>VLOOKUP(A211,MasterMaterials!A:I,9,FALSE)</f>
        <v>0.57</v>
      </c>
      <c r="J211" s="26" t="s">
        <v>507</v>
      </c>
      <c r="M211" s="26" t="s">
        <v>705</v>
      </c>
    </row>
    <row r="212" ht="22.5" customHeight="1">
      <c r="A212" s="26" t="s">
        <v>466</v>
      </c>
      <c r="D212" s="26" t="s">
        <v>505</v>
      </c>
      <c r="E212" s="26" t="s">
        <v>506</v>
      </c>
      <c r="F212" s="26" t="s">
        <v>507</v>
      </c>
      <c r="H212" s="27">
        <f>IF(AND(VLOOKUP(A212,MasterMaterials!A:J,10,FALSE)&lt;&gt;"",VLOOKUP(A212,MasterMaterials!A:J,10,FALSE)&lt;&gt;0),VLOOKUP(A212,MasterMaterials!A:J,10,FALSE),ROUND(I212*1.15/0.688,2))</f>
        <v>1.56</v>
      </c>
      <c r="I212" s="28">
        <f>VLOOKUP(A212,MasterMaterials!A:I,9,FALSE)</f>
        <v>0.67</v>
      </c>
      <c r="J212" s="26" t="s">
        <v>507</v>
      </c>
      <c r="M212" s="26" t="s">
        <v>468</v>
      </c>
    </row>
    <row r="213" ht="22.5" customHeight="1">
      <c r="A213" s="26" t="s">
        <v>469</v>
      </c>
      <c r="D213" s="26" t="s">
        <v>505</v>
      </c>
      <c r="E213" s="26" t="s">
        <v>506</v>
      </c>
      <c r="F213" s="26" t="s">
        <v>507</v>
      </c>
      <c r="H213" s="27">
        <f>IF(AND(VLOOKUP(A213,MasterMaterials!A:J,10,FALSE)&lt;&gt;"",VLOOKUP(A213,MasterMaterials!A:J,10,FALSE)&lt;&gt;0),VLOOKUP(A213,MasterMaterials!A:J,10,FALSE),ROUND(I213*1.15/0.688,2))</f>
        <v>1.84</v>
      </c>
      <c r="I213" s="28">
        <f>VLOOKUP(A213,MasterMaterials!A:I,9,FALSE)</f>
        <v>0.75</v>
      </c>
      <c r="J213" s="26" t="s">
        <v>507</v>
      </c>
      <c r="M213" s="26" t="s">
        <v>471</v>
      </c>
    </row>
    <row r="214" ht="22.5" customHeight="1">
      <c r="A214" s="26" t="s">
        <v>472</v>
      </c>
      <c r="D214" s="26" t="s">
        <v>505</v>
      </c>
      <c r="E214" s="26" t="s">
        <v>506</v>
      </c>
      <c r="F214" s="26" t="s">
        <v>507</v>
      </c>
      <c r="H214" s="27">
        <f>IF(AND(VLOOKUP(A214,MasterMaterials!A:J,10,FALSE)&lt;&gt;"",VLOOKUP(A214,MasterMaterials!A:J,10,FALSE)&lt;&gt;0),VLOOKUP(A214,MasterMaterials!A:J,10,FALSE),ROUND(I214*1.15/0.688,2))</f>
        <v>1</v>
      </c>
      <c r="I214" s="28">
        <f>VLOOKUP(A214,MasterMaterials!A:I,9,FALSE)</f>
        <v>0.41</v>
      </c>
      <c r="J214" s="26" t="s">
        <v>507</v>
      </c>
      <c r="M214" s="26" t="s">
        <v>474</v>
      </c>
    </row>
    <row r="215" ht="22.5" customHeight="1">
      <c r="A215" s="26" t="s">
        <v>475</v>
      </c>
      <c r="D215" s="26" t="s">
        <v>505</v>
      </c>
      <c r="E215" s="26" t="s">
        <v>506</v>
      </c>
      <c r="F215" s="26" t="s">
        <v>566</v>
      </c>
      <c r="H215" s="27">
        <f>IF(AND(VLOOKUP(A215,MasterMaterials!A:J,10,FALSE)&lt;&gt;"",VLOOKUP(A215,MasterMaterials!A:J,10,FALSE)&lt;&gt;0),VLOOKUP(A215,MasterMaterials!A:J,10,FALSE),ROUND(I215*1.15/0.688,2))</f>
        <v>1.84</v>
      </c>
      <c r="I215" s="28">
        <f>VLOOKUP(A215,MasterMaterials!A:I,9,FALSE)</f>
        <v>0.75</v>
      </c>
      <c r="J215" s="26" t="s">
        <v>507</v>
      </c>
      <c r="M215" s="26" t="s">
        <v>706</v>
      </c>
    </row>
    <row r="216" ht="22.5" customHeight="1">
      <c r="A216" s="26" t="s">
        <v>477</v>
      </c>
      <c r="D216" s="26" t="s">
        <v>505</v>
      </c>
      <c r="E216" s="26" t="s">
        <v>506</v>
      </c>
      <c r="F216" s="26" t="s">
        <v>566</v>
      </c>
      <c r="H216" s="27">
        <f>IF(AND(VLOOKUP(A216,MasterMaterials!A:J,10,FALSE)&lt;&gt;"",VLOOKUP(A216,MasterMaterials!A:J,10,FALSE)&lt;&gt;0),VLOOKUP(A216,MasterMaterials!A:J,10,FALSE),ROUND(I216*1.15/0.688,2))</f>
        <v>5.63</v>
      </c>
      <c r="I216" s="28">
        <f>VLOOKUP(A216,MasterMaterials!A:I,9,FALSE)</f>
        <v>3.35</v>
      </c>
      <c r="J216" s="26" t="s">
        <v>542</v>
      </c>
      <c r="M216" s="26" t="s">
        <v>707</v>
      </c>
    </row>
    <row r="217" ht="22.5" customHeight="1">
      <c r="A217" s="6" t="s">
        <v>479</v>
      </c>
      <c r="D217" s="26" t="s">
        <v>505</v>
      </c>
      <c r="E217" s="26" t="s">
        <v>506</v>
      </c>
      <c r="F217" s="26" t="s">
        <v>507</v>
      </c>
      <c r="H217" s="27">
        <f>IF(AND(VLOOKUP(A217,MasterMaterials!A:J,10,FALSE)&lt;&gt;"",VLOOKUP(A217,MasterMaterials!A:J,10,FALSE)&lt;&gt;0),VLOOKUP(A217,MasterMaterials!A:J,10,FALSE),ROUND(I217*1.15/0.688,2))</f>
        <v>11.24</v>
      </c>
      <c r="I217" s="28" t="str">
        <f>VLOOKUP(A217,MasterMaterials!A:I,9,FALSE)</f>
        <v/>
      </c>
      <c r="J217" s="26" t="s">
        <v>507</v>
      </c>
      <c r="M217" s="6" t="s">
        <v>708</v>
      </c>
    </row>
    <row r="218" ht="22.5" customHeight="1">
      <c r="A218" s="6" t="s">
        <v>481</v>
      </c>
      <c r="D218" s="26" t="s">
        <v>505</v>
      </c>
      <c r="E218" s="26" t="s">
        <v>506</v>
      </c>
      <c r="F218" s="26" t="s">
        <v>507</v>
      </c>
      <c r="H218" s="27">
        <f>IF(AND(VLOOKUP(A218,MasterMaterials!A:J,10,FALSE)&lt;&gt;"",VLOOKUP(A218,MasterMaterials!A:J,10,FALSE)&lt;&gt;0),VLOOKUP(A218,MasterMaterials!A:J,10,FALSE),ROUND(I218*1.15/0.688,2))</f>
        <v>6.92</v>
      </c>
      <c r="I218" s="28" t="str">
        <f>VLOOKUP(A218,MasterMaterials!A:I,9,FALSE)</f>
        <v/>
      </c>
      <c r="J218" s="26" t="s">
        <v>507</v>
      </c>
      <c r="M218" s="6" t="s">
        <v>709</v>
      </c>
    </row>
    <row r="219" ht="22.5" customHeight="1">
      <c r="A219" s="6" t="s">
        <v>483</v>
      </c>
      <c r="D219" s="26" t="s">
        <v>505</v>
      </c>
      <c r="E219" s="26" t="s">
        <v>506</v>
      </c>
      <c r="F219" s="26" t="s">
        <v>507</v>
      </c>
      <c r="H219" s="27">
        <f>IF(AND(VLOOKUP(A219,MasterMaterials!A:J,10,FALSE)&lt;&gt;"",VLOOKUP(A219,MasterMaterials!A:J,10,FALSE)&lt;&gt;0),VLOOKUP(A219,MasterMaterials!A:J,10,FALSE),ROUND(I219*1.15/0.688,2))</f>
        <v>32.68</v>
      </c>
      <c r="I219" s="28" t="str">
        <f>VLOOKUP(A219,MasterMaterials!A:I,9,FALSE)</f>
        <v/>
      </c>
      <c r="J219" s="26" t="s">
        <v>507</v>
      </c>
      <c r="M219" s="6" t="s">
        <v>710</v>
      </c>
    </row>
    <row r="220" ht="22.5" customHeight="1">
      <c r="A220" s="6" t="s">
        <v>485</v>
      </c>
      <c r="D220" s="26" t="s">
        <v>505</v>
      </c>
      <c r="E220" s="26" t="s">
        <v>506</v>
      </c>
      <c r="F220" s="26" t="s">
        <v>507</v>
      </c>
      <c r="H220" s="27">
        <f>IF(AND(VLOOKUP(A220,MasterMaterials!A:J,10,FALSE)&lt;&gt;"",VLOOKUP(A220,MasterMaterials!A:J,10,FALSE)&lt;&gt;0),VLOOKUP(A220,MasterMaterials!A:J,10,FALSE),ROUND(I220*1.15/0.688,2))</f>
        <v>48.17</v>
      </c>
      <c r="I220" s="28" t="str">
        <f>VLOOKUP(A220,MasterMaterials!A:I,9,FALSE)</f>
        <v/>
      </c>
      <c r="J220" s="26" t="s">
        <v>507</v>
      </c>
      <c r="M220" s="6" t="s">
        <v>711</v>
      </c>
    </row>
    <row r="221" ht="22.5" customHeight="1">
      <c r="A221" s="6" t="s">
        <v>487</v>
      </c>
      <c r="D221" s="26" t="s">
        <v>505</v>
      </c>
      <c r="E221" s="26" t="s">
        <v>506</v>
      </c>
      <c r="F221" s="26" t="s">
        <v>507</v>
      </c>
      <c r="H221" s="27">
        <f>IF(AND(VLOOKUP(A221,MasterMaterials!A:J,10,FALSE)&lt;&gt;"",VLOOKUP(A221,MasterMaterials!A:J,10,FALSE)&lt;&gt;0),VLOOKUP(A221,MasterMaterials!A:J,10,FALSE),ROUND(I221*1.15/0.688,2))</f>
        <v>64.95</v>
      </c>
      <c r="I221" s="28" t="str">
        <f>VLOOKUP(A221,MasterMaterials!A:I,9,FALSE)</f>
        <v/>
      </c>
      <c r="J221" s="26" t="s">
        <v>507</v>
      </c>
      <c r="M221" s="6" t="s">
        <v>712</v>
      </c>
    </row>
    <row r="222" ht="22.5" customHeight="1">
      <c r="A222" s="6" t="s">
        <v>489</v>
      </c>
      <c r="D222" s="26" t="s">
        <v>505</v>
      </c>
      <c r="E222" s="26" t="s">
        <v>506</v>
      </c>
      <c r="F222" s="26" t="s">
        <v>507</v>
      </c>
      <c r="H222" s="27">
        <f>IF(AND(VLOOKUP(A222,MasterMaterials!A:J,10,FALSE)&lt;&gt;"",VLOOKUP(A222,MasterMaterials!A:J,10,FALSE)&lt;&gt;0),VLOOKUP(A222,MasterMaterials!A:J,10,FALSE),ROUND(I222*1.15/0.688,2))</f>
        <v>81.17</v>
      </c>
      <c r="I222" s="28" t="str">
        <f>VLOOKUP(A222,MasterMaterials!A:I,9,FALSE)</f>
        <v/>
      </c>
      <c r="J222" s="26" t="s">
        <v>507</v>
      </c>
      <c r="M222" s="6" t="s">
        <v>713</v>
      </c>
    </row>
    <row r="223" ht="22.5" customHeight="1">
      <c r="A223" s="26"/>
      <c r="D223" s="26"/>
      <c r="E223" s="26"/>
      <c r="F223" s="26"/>
      <c r="H223" s="44" t="str">
        <f>IF(AND(VLOOKUP(A223,MasterMaterials!A:J,10,FALSE)&lt;&gt;"",VLOOKUP(A223,MasterMaterials!A:J,10,FALSE)&lt;&gt;0),VLOOKUP(A223,MasterMaterials!A:J,10,FALSE),ROUND(I223*1.15/0.688,2))</f>
        <v>#N/A</v>
      </c>
      <c r="I223" s="44" t="str">
        <f>VLOOKUP(A223,MasterMaterials!A:I,9,FALSE)</f>
        <v>#N/A</v>
      </c>
      <c r="J223" s="26"/>
      <c r="M223" s="26"/>
    </row>
    <row r="224" ht="22.5" customHeight="1">
      <c r="A224" s="26"/>
      <c r="D224" s="26"/>
      <c r="E224" s="26"/>
      <c r="F224" s="26"/>
      <c r="H224" s="44" t="str">
        <f>IF(AND(VLOOKUP(A224,MasterMaterials!A:J,10,FALSE)&lt;&gt;"",VLOOKUP(A224,MasterMaterials!A:J,10,FALSE)&lt;&gt;0),VLOOKUP(A224,MasterMaterials!A:J,10,FALSE),ROUND(I224*1.15/0.688,2))</f>
        <v>#N/A</v>
      </c>
      <c r="I224" s="44" t="str">
        <f>VLOOKUP(A224,MasterMaterials!A:I,9,FALSE)</f>
        <v>#N/A</v>
      </c>
      <c r="J224" s="26"/>
      <c r="M224" s="26"/>
    </row>
    <row r="225" ht="22.5" customHeight="1">
      <c r="A225" s="26"/>
      <c r="D225" s="26"/>
      <c r="E225" s="26"/>
      <c r="F225" s="26"/>
      <c r="H225" s="44" t="str">
        <f>IF(AND(VLOOKUP(A225,MasterMaterials!A:J,10,FALSE)&lt;&gt;"",VLOOKUP(A225,MasterMaterials!A:J,10,FALSE)&lt;&gt;0),VLOOKUP(A225,MasterMaterials!A:J,10,FALSE),ROUND(I225*1.15/0.688,2))</f>
        <v>#N/A</v>
      </c>
      <c r="I225" s="44" t="str">
        <f>VLOOKUP(A225,MasterMaterials!A:I,9,FALSE)</f>
        <v>#N/A</v>
      </c>
      <c r="J225" s="26"/>
      <c r="M225" s="26"/>
    </row>
    <row r="226" ht="22.5" customHeight="1">
      <c r="A226" s="26"/>
      <c r="D226" s="26"/>
      <c r="E226" s="26"/>
      <c r="F226" s="26"/>
      <c r="H226" s="44" t="str">
        <f>IF(AND(VLOOKUP(A226,MasterMaterials!A:J,10,FALSE)&lt;&gt;"",VLOOKUP(A226,MasterMaterials!A:J,10,FALSE)&lt;&gt;0),VLOOKUP(A226,MasterMaterials!A:J,10,FALSE),ROUND(I226*1.15/0.688,2))</f>
        <v>#N/A</v>
      </c>
      <c r="I226" s="44" t="str">
        <f>VLOOKUP(A226,MasterMaterials!A:I,9,FALSE)</f>
        <v>#N/A</v>
      </c>
      <c r="J226" s="26"/>
      <c r="M226" s="26"/>
    </row>
    <row r="227" ht="22.5" customHeight="1">
      <c r="A227" s="26"/>
      <c r="D227" s="26"/>
      <c r="E227" s="26"/>
      <c r="F227" s="26"/>
      <c r="H227" s="44" t="str">
        <f>IF(AND(VLOOKUP(A227,MasterMaterials!A:J,10,FALSE)&lt;&gt;"",VLOOKUP(A227,MasterMaterials!A:J,10,FALSE)&lt;&gt;0),VLOOKUP(A227,MasterMaterials!A:J,10,FALSE),ROUND(I227*1.15/0.688,2))</f>
        <v>#N/A</v>
      </c>
      <c r="I227" s="44" t="str">
        <f>VLOOKUP(A227,MasterMaterials!A:I,9,FALSE)</f>
        <v>#N/A</v>
      </c>
      <c r="J227" s="26"/>
      <c r="M227" s="26"/>
    </row>
    <row r="228" ht="22.5" customHeight="1">
      <c r="A228" s="26"/>
      <c r="D228" s="26"/>
      <c r="E228" s="26"/>
      <c r="F228" s="26"/>
      <c r="H228" s="44" t="str">
        <f>IF(AND(VLOOKUP(A228,MasterMaterials!A:J,10,FALSE)&lt;&gt;"",VLOOKUP(A228,MasterMaterials!A:J,10,FALSE)&lt;&gt;0),VLOOKUP(A228,MasterMaterials!A:J,10,FALSE),ROUND(I228*1.15/0.688,2))</f>
        <v>#N/A</v>
      </c>
      <c r="I228" s="44" t="str">
        <f>VLOOKUP(A228,MasterMaterials!A:I,9,FALSE)</f>
        <v>#N/A</v>
      </c>
      <c r="J228" s="26"/>
      <c r="M228" s="26"/>
    </row>
    <row r="229" ht="22.5" customHeight="1">
      <c r="A229" s="26"/>
      <c r="D229" s="26"/>
      <c r="E229" s="26"/>
      <c r="F229" s="26"/>
      <c r="H229" s="44" t="str">
        <f>IF(AND(VLOOKUP(A229,MasterMaterials!A:J,10,FALSE)&lt;&gt;"",VLOOKUP(A229,MasterMaterials!A:J,10,FALSE)&lt;&gt;0),VLOOKUP(A229,MasterMaterials!A:J,10,FALSE),ROUND(I229*1.15/0.688,2))</f>
        <v>#N/A</v>
      </c>
      <c r="I229" s="44" t="str">
        <f>VLOOKUP(A229,MasterMaterials!A:I,9,FALSE)</f>
        <v>#N/A</v>
      </c>
      <c r="J229" s="26"/>
      <c r="M229" s="26"/>
    </row>
    <row r="230" ht="22.5" customHeight="1">
      <c r="A230" s="26"/>
      <c r="D230" s="26"/>
      <c r="E230" s="26"/>
      <c r="F230" s="26"/>
      <c r="H230" s="44" t="str">
        <f>IF(AND(VLOOKUP(A230,MasterMaterials!A:J,10,FALSE)&lt;&gt;"",VLOOKUP(A230,MasterMaterials!A:J,10,FALSE)&lt;&gt;0),VLOOKUP(A230,MasterMaterials!A:J,10,FALSE),ROUND(I230*1.15/0.688,2))</f>
        <v>#N/A</v>
      </c>
      <c r="I230" s="44" t="str">
        <f>VLOOKUP(A230,MasterMaterials!A:I,9,FALSE)</f>
        <v>#N/A</v>
      </c>
      <c r="J230" s="26"/>
      <c r="M230" s="26"/>
    </row>
    <row r="231" ht="22.5" customHeight="1">
      <c r="A231" s="26"/>
      <c r="D231" s="26"/>
      <c r="E231" s="26"/>
      <c r="F231" s="26"/>
      <c r="H231" s="44" t="str">
        <f>IF(AND(VLOOKUP(A231,MasterMaterials!A:J,10,FALSE)&lt;&gt;"",VLOOKUP(A231,MasterMaterials!A:J,10,FALSE)&lt;&gt;0),VLOOKUP(A231,MasterMaterials!A:J,10,FALSE),ROUND(I231*1.15/0.688,2))</f>
        <v>#N/A</v>
      </c>
      <c r="I231" s="44" t="str">
        <f>VLOOKUP(A231,MasterMaterials!A:I,9,FALSE)</f>
        <v>#N/A</v>
      </c>
      <c r="J231" s="26"/>
      <c r="M231" s="26"/>
    </row>
    <row r="232" ht="22.5" customHeight="1">
      <c r="A232" s="26"/>
      <c r="D232" s="26"/>
      <c r="E232" s="26"/>
      <c r="F232" s="26"/>
      <c r="H232" s="44" t="str">
        <f>IF(AND(VLOOKUP(A232,MasterMaterials!A:J,10,FALSE)&lt;&gt;"",VLOOKUP(A232,MasterMaterials!A:J,10,FALSE)&lt;&gt;0),VLOOKUP(A232,MasterMaterials!A:J,10,FALSE),ROUND(I232*1.15/0.688,2))</f>
        <v>#N/A</v>
      </c>
      <c r="I232" s="44" t="str">
        <f>VLOOKUP(A232,MasterMaterials!A:I,9,FALSE)</f>
        <v>#N/A</v>
      </c>
      <c r="J232" s="26"/>
      <c r="M232" s="26"/>
    </row>
    <row r="233" ht="22.5" customHeight="1">
      <c r="A233" s="26"/>
      <c r="D233" s="26"/>
      <c r="E233" s="26"/>
      <c r="F233" s="26"/>
      <c r="H233" s="44" t="str">
        <f>IF(AND(VLOOKUP(A233,MasterMaterials!A:J,10,FALSE)&lt;&gt;"",VLOOKUP(A233,MasterMaterials!A:J,10,FALSE)&lt;&gt;0),VLOOKUP(A233,MasterMaterials!A:J,10,FALSE),ROUND(I233*1.15/0.688,2))</f>
        <v>#N/A</v>
      </c>
      <c r="I233" s="44" t="str">
        <f>VLOOKUP(A233,MasterMaterials!A:I,9,FALSE)</f>
        <v>#N/A</v>
      </c>
      <c r="J233" s="26"/>
      <c r="M233" s="26"/>
    </row>
    <row r="234" ht="22.5" customHeight="1">
      <c r="A234" s="26"/>
      <c r="D234" s="26"/>
      <c r="E234" s="26"/>
      <c r="F234" s="26"/>
      <c r="H234" s="44" t="str">
        <f>IF(AND(VLOOKUP(A234,MasterMaterials!A:J,10,FALSE)&lt;&gt;"",VLOOKUP(A234,MasterMaterials!A:J,10,FALSE)&lt;&gt;0),VLOOKUP(A234,MasterMaterials!A:J,10,FALSE),ROUND(I234*1.15/0.688,2))</f>
        <v>#N/A</v>
      </c>
      <c r="I234" s="44" t="str">
        <f>VLOOKUP(A234,MasterMaterials!A:I,9,FALSE)</f>
        <v>#N/A</v>
      </c>
      <c r="J234" s="26"/>
      <c r="M234" s="26"/>
    </row>
    <row r="235" ht="22.5" customHeight="1">
      <c r="A235" s="26"/>
      <c r="D235" s="26"/>
      <c r="E235" s="26"/>
      <c r="F235" s="26"/>
      <c r="H235" s="44" t="str">
        <f>IF(AND(VLOOKUP(A235,MasterMaterials!A:J,10,FALSE)&lt;&gt;"",VLOOKUP(A235,MasterMaterials!A:J,10,FALSE)&lt;&gt;0),VLOOKUP(A235,MasterMaterials!A:J,10,FALSE),ROUND(I235*1.15/0.688,2))</f>
        <v>#N/A</v>
      </c>
      <c r="I235" s="44" t="str">
        <f>VLOOKUP(A235,MasterMaterials!A:I,9,FALSE)</f>
        <v>#N/A</v>
      </c>
      <c r="J235" s="26"/>
      <c r="M235" s="26"/>
    </row>
    <row r="236" ht="22.5" customHeight="1">
      <c r="A236" s="26"/>
      <c r="D236" s="26"/>
      <c r="E236" s="26"/>
      <c r="F236" s="26"/>
      <c r="H236" s="44" t="str">
        <f>IF(AND(VLOOKUP(A236,MasterMaterials!A:J,10,FALSE)&lt;&gt;"",VLOOKUP(A236,MasterMaterials!A:J,10,FALSE)&lt;&gt;0),VLOOKUP(A236,MasterMaterials!A:J,10,FALSE),ROUND(I236*1.15/0.688,2))</f>
        <v>#N/A</v>
      </c>
      <c r="I236" s="44" t="str">
        <f>VLOOKUP(A236,MasterMaterials!A:I,9,FALSE)</f>
        <v>#N/A</v>
      </c>
      <c r="J236" s="26"/>
      <c r="M236" s="26"/>
    </row>
    <row r="237" ht="22.5" customHeight="1">
      <c r="A237" s="26"/>
      <c r="D237" s="26"/>
      <c r="E237" s="26"/>
      <c r="F237" s="26"/>
      <c r="H237" s="44" t="str">
        <f>IF(AND(VLOOKUP(A237,MasterMaterials!A:J,10,FALSE)&lt;&gt;"",VLOOKUP(A237,MasterMaterials!A:J,10,FALSE)&lt;&gt;0),VLOOKUP(A237,MasterMaterials!A:J,10,FALSE),ROUND(I237*1.15/0.688,2))</f>
        <v>#N/A</v>
      </c>
      <c r="I237" s="44" t="str">
        <f>VLOOKUP(A237,MasterMaterials!A:I,9,FALSE)</f>
        <v>#N/A</v>
      </c>
      <c r="J237" s="26"/>
      <c r="M237" s="26"/>
    </row>
    <row r="238" ht="22.5" customHeight="1">
      <c r="A238" s="26"/>
      <c r="D238" s="26"/>
      <c r="E238" s="26"/>
      <c r="F238" s="26"/>
      <c r="H238" s="44" t="str">
        <f>IF(AND(VLOOKUP(A238,MasterMaterials!A:J,10,FALSE)&lt;&gt;"",VLOOKUP(A238,MasterMaterials!A:J,10,FALSE)&lt;&gt;0),VLOOKUP(A238,MasterMaterials!A:J,10,FALSE),ROUND(I238*1.15/0.688,2))</f>
        <v>#N/A</v>
      </c>
      <c r="I238" s="44" t="str">
        <f>VLOOKUP(A238,MasterMaterials!A:I,9,FALSE)</f>
        <v>#N/A</v>
      </c>
      <c r="J238" s="26"/>
      <c r="M238" s="26"/>
    </row>
    <row r="239" ht="22.5" customHeight="1">
      <c r="A239" s="26"/>
      <c r="D239" s="26"/>
      <c r="E239" s="26"/>
      <c r="F239" s="26"/>
      <c r="H239" s="44" t="str">
        <f>IF(AND(VLOOKUP(A239,MasterMaterials!A:J,10,FALSE)&lt;&gt;"",VLOOKUP(A239,MasterMaterials!A:J,10,FALSE)&lt;&gt;0),VLOOKUP(A239,MasterMaterials!A:J,10,FALSE),ROUND(I239*1.15/0.688,2))</f>
        <v>#N/A</v>
      </c>
      <c r="I239" s="44" t="str">
        <f>VLOOKUP(A239,MasterMaterials!A:I,9,FALSE)</f>
        <v>#N/A</v>
      </c>
      <c r="J239" s="26"/>
      <c r="M239" s="26"/>
    </row>
    <row r="240" ht="22.5" customHeight="1">
      <c r="A240" s="26"/>
      <c r="D240" s="26"/>
      <c r="E240" s="26"/>
      <c r="F240" s="26"/>
      <c r="H240" s="44" t="str">
        <f>IF(AND(VLOOKUP(A240,MasterMaterials!A:J,10,FALSE)&lt;&gt;"",VLOOKUP(A240,MasterMaterials!A:J,10,FALSE)&lt;&gt;0),VLOOKUP(A240,MasterMaterials!A:J,10,FALSE),ROUND(I240*1.15/0.688,2))</f>
        <v>#N/A</v>
      </c>
      <c r="I240" s="44" t="str">
        <f>VLOOKUP(A240,MasterMaterials!A:I,9,FALSE)</f>
        <v>#N/A</v>
      </c>
      <c r="J240" s="26"/>
      <c r="M240" s="26"/>
    </row>
    <row r="241" ht="22.5" customHeight="1">
      <c r="A241" s="26"/>
      <c r="D241" s="26"/>
      <c r="E241" s="26"/>
      <c r="F241" s="26"/>
      <c r="H241" s="44" t="str">
        <f>IF(AND(VLOOKUP(A241,MasterMaterials!A:J,10,FALSE)&lt;&gt;"",VLOOKUP(A241,MasterMaterials!A:J,10,FALSE)&lt;&gt;0),VLOOKUP(A241,MasterMaterials!A:J,10,FALSE),ROUND(I241*1.15/0.688,2))</f>
        <v>#N/A</v>
      </c>
      <c r="I241" s="44" t="str">
        <f>VLOOKUP(A241,MasterMaterials!A:I,9,FALSE)</f>
        <v>#N/A</v>
      </c>
      <c r="J241" s="26"/>
      <c r="M241" s="26"/>
    </row>
    <row r="242" ht="22.5" customHeight="1">
      <c r="A242" s="26"/>
      <c r="D242" s="26"/>
      <c r="E242" s="26"/>
      <c r="F242" s="26"/>
      <c r="H242" s="44" t="str">
        <f>IF(AND(VLOOKUP(A242,MasterMaterials!A:J,10,FALSE)&lt;&gt;"",VLOOKUP(A242,MasterMaterials!A:J,10,FALSE)&lt;&gt;0),VLOOKUP(A242,MasterMaterials!A:J,10,FALSE),ROUND(I242*1.15/0.688,2))</f>
        <v>#N/A</v>
      </c>
      <c r="I242" s="44" t="str">
        <f>VLOOKUP(A242,MasterMaterials!A:I,9,FALSE)</f>
        <v>#N/A</v>
      </c>
      <c r="J242" s="26"/>
      <c r="M242" s="26"/>
    </row>
    <row r="243" ht="22.5" customHeight="1">
      <c r="A243" s="26"/>
      <c r="D243" s="26"/>
      <c r="E243" s="26"/>
      <c r="F243" s="26"/>
      <c r="H243" s="44" t="str">
        <f>IF(AND(VLOOKUP(A243,MasterMaterials!A:J,10,FALSE)&lt;&gt;"",VLOOKUP(A243,MasterMaterials!A:J,10,FALSE)&lt;&gt;0),VLOOKUP(A243,MasterMaterials!A:J,10,FALSE),ROUND(I243*1.15/0.688,2))</f>
        <v>#N/A</v>
      </c>
      <c r="I243" s="44" t="str">
        <f>VLOOKUP(A243,MasterMaterials!A:I,9,FALSE)</f>
        <v>#N/A</v>
      </c>
      <c r="J243" s="26"/>
      <c r="M243" s="26"/>
    </row>
    <row r="244" ht="22.5" customHeight="1">
      <c r="A244" s="26"/>
      <c r="D244" s="26"/>
      <c r="E244" s="26"/>
      <c r="F244" s="26"/>
      <c r="H244" s="44" t="str">
        <f>IF(AND(VLOOKUP(A244,MasterMaterials!A:J,10,FALSE)&lt;&gt;"",VLOOKUP(A244,MasterMaterials!A:J,10,FALSE)&lt;&gt;0),VLOOKUP(A244,MasterMaterials!A:J,10,FALSE),ROUND(I244*1.15/0.688,2))</f>
        <v>#N/A</v>
      </c>
      <c r="I244" s="44" t="str">
        <f>VLOOKUP(A244,MasterMaterials!A:I,9,FALSE)</f>
        <v>#N/A</v>
      </c>
      <c r="J244" s="26"/>
      <c r="M244" s="26"/>
    </row>
    <row r="245" ht="22.5" customHeight="1">
      <c r="A245" s="26"/>
      <c r="D245" s="26"/>
      <c r="E245" s="26"/>
      <c r="F245" s="26"/>
      <c r="H245" s="44" t="str">
        <f>IF(AND(VLOOKUP(A245,MasterMaterials!A:J,10,FALSE)&lt;&gt;"",VLOOKUP(A245,MasterMaterials!A:J,10,FALSE)&lt;&gt;0),VLOOKUP(A245,MasterMaterials!A:J,10,FALSE),ROUND(I245*1.15/0.688,2))</f>
        <v>#N/A</v>
      </c>
      <c r="I245" s="44" t="str">
        <f>VLOOKUP(A245,MasterMaterials!A:I,9,FALSE)</f>
        <v>#N/A</v>
      </c>
      <c r="J245" s="26"/>
      <c r="M245" s="26"/>
    </row>
    <row r="246" ht="22.5" customHeight="1">
      <c r="A246" s="26"/>
      <c r="D246" s="26"/>
      <c r="E246" s="26"/>
      <c r="F246" s="26"/>
      <c r="H246" s="44" t="str">
        <f>IF(AND(VLOOKUP(A246,MasterMaterials!A:J,10,FALSE)&lt;&gt;"",VLOOKUP(A246,MasterMaterials!A:J,10,FALSE)&lt;&gt;0),VLOOKUP(A246,MasterMaterials!A:J,10,FALSE),ROUND(I246*1.15/0.688,2))</f>
        <v>#N/A</v>
      </c>
      <c r="I246" s="44" t="str">
        <f>VLOOKUP(A246,MasterMaterials!A:I,9,FALSE)</f>
        <v>#N/A</v>
      </c>
      <c r="J246" s="26"/>
      <c r="M246" s="26"/>
    </row>
    <row r="247" ht="22.5" customHeight="1">
      <c r="A247" s="26"/>
      <c r="D247" s="26"/>
      <c r="E247" s="26"/>
      <c r="F247" s="26"/>
      <c r="H247" s="44" t="str">
        <f>IF(AND(VLOOKUP(A247,MasterMaterials!A:J,10,FALSE)&lt;&gt;"",VLOOKUP(A247,MasterMaterials!A:J,10,FALSE)&lt;&gt;0),VLOOKUP(A247,MasterMaterials!A:J,10,FALSE),ROUND(I247*1.15/0.688,2))</f>
        <v>#N/A</v>
      </c>
      <c r="I247" s="44" t="str">
        <f>VLOOKUP(A247,MasterMaterials!A:I,9,FALSE)</f>
        <v>#N/A</v>
      </c>
      <c r="J247" s="26"/>
      <c r="M247" s="26"/>
    </row>
    <row r="248" ht="22.5" customHeight="1">
      <c r="A248" s="26"/>
      <c r="D248" s="26"/>
      <c r="E248" s="26"/>
      <c r="F248" s="26"/>
      <c r="H248" s="44" t="str">
        <f>IF(AND(VLOOKUP(A248,MasterMaterials!A:J,10,FALSE)&lt;&gt;"",VLOOKUP(A248,MasterMaterials!A:J,10,FALSE)&lt;&gt;0),VLOOKUP(A248,MasterMaterials!A:J,10,FALSE),ROUND(I248*1.15/0.688,2))</f>
        <v>#N/A</v>
      </c>
      <c r="I248" s="44" t="str">
        <f>VLOOKUP(A248,MasterMaterials!A:I,9,FALSE)</f>
        <v>#N/A</v>
      </c>
      <c r="J248" s="26"/>
      <c r="M248" s="26"/>
    </row>
    <row r="249" ht="22.5" customHeight="1">
      <c r="A249" s="26"/>
      <c r="D249" s="26"/>
      <c r="E249" s="26"/>
      <c r="F249" s="26"/>
      <c r="H249" s="44" t="str">
        <f>IF(AND(VLOOKUP(A249,MasterMaterials!A:J,10,FALSE)&lt;&gt;"",VLOOKUP(A249,MasterMaterials!A:J,10,FALSE)&lt;&gt;0),VLOOKUP(A249,MasterMaterials!A:J,10,FALSE),ROUND(I249*1.15/0.688,2))</f>
        <v>#N/A</v>
      </c>
      <c r="I249" s="44" t="str">
        <f>VLOOKUP(A249,MasterMaterials!A:I,9,FALSE)</f>
        <v>#N/A</v>
      </c>
      <c r="J249" s="26"/>
      <c r="M249" s="26"/>
    </row>
    <row r="250" ht="22.5" customHeight="1">
      <c r="A250" s="26"/>
      <c r="D250" s="26"/>
      <c r="E250" s="26"/>
      <c r="F250" s="26"/>
      <c r="H250" s="44" t="str">
        <f>IF(AND(VLOOKUP(A250,MasterMaterials!A:J,10,FALSE)&lt;&gt;"",VLOOKUP(A250,MasterMaterials!A:J,10,FALSE)&lt;&gt;0),VLOOKUP(A250,MasterMaterials!A:J,10,FALSE),ROUND(I250*1.15/0.688,2))</f>
        <v>#N/A</v>
      </c>
      <c r="I250" s="44" t="str">
        <f>VLOOKUP(A250,MasterMaterials!A:I,9,FALSE)</f>
        <v>#N/A</v>
      </c>
      <c r="J250" s="26"/>
      <c r="M250" s="26"/>
    </row>
    <row r="251" ht="22.5" customHeight="1">
      <c r="A251" s="26"/>
      <c r="D251" s="26"/>
      <c r="E251" s="26"/>
      <c r="F251" s="26"/>
      <c r="H251" s="44" t="str">
        <f>IF(AND(VLOOKUP(A251,MasterMaterials!A:J,10,FALSE)&lt;&gt;"",VLOOKUP(A251,MasterMaterials!A:J,10,FALSE)&lt;&gt;0),VLOOKUP(A251,MasterMaterials!A:J,10,FALSE),ROUND(I251*1.15/0.688,2))</f>
        <v>#N/A</v>
      </c>
      <c r="I251" s="44" t="str">
        <f>VLOOKUP(A251,MasterMaterials!A:I,9,FALSE)</f>
        <v>#N/A</v>
      </c>
      <c r="J251" s="26"/>
      <c r="M251" s="26"/>
    </row>
    <row r="252" ht="22.5" customHeight="1">
      <c r="A252" s="26"/>
      <c r="D252" s="26"/>
      <c r="E252" s="26"/>
      <c r="F252" s="26"/>
      <c r="H252" s="44" t="str">
        <f>IF(AND(VLOOKUP(A252,MasterMaterials!A:J,10,FALSE)&lt;&gt;"",VLOOKUP(A252,MasterMaterials!A:J,10,FALSE)&lt;&gt;0),VLOOKUP(A252,MasterMaterials!A:J,10,FALSE),ROUND(I252*1.15/0.688,2))</f>
        <v>#N/A</v>
      </c>
      <c r="I252" s="44" t="str">
        <f>VLOOKUP(A252,MasterMaterials!A:I,9,FALSE)</f>
        <v>#N/A</v>
      </c>
      <c r="J252" s="26"/>
      <c r="M252" s="26"/>
    </row>
    <row r="253" ht="22.5" customHeight="1">
      <c r="A253" s="26"/>
      <c r="D253" s="26"/>
      <c r="E253" s="26"/>
      <c r="F253" s="26"/>
      <c r="H253" s="44" t="str">
        <f>IF(AND(VLOOKUP(A253,MasterMaterials!A:J,10,FALSE)&lt;&gt;"",VLOOKUP(A253,MasterMaterials!A:J,10,FALSE)&lt;&gt;0),VLOOKUP(A253,MasterMaterials!A:J,10,FALSE),ROUND(I253*1.15/0.688,2))</f>
        <v>#N/A</v>
      </c>
      <c r="I253" s="44" t="str">
        <f>VLOOKUP(A253,MasterMaterials!A:I,9,FALSE)</f>
        <v>#N/A</v>
      </c>
      <c r="J253" s="26"/>
      <c r="M253" s="26"/>
    </row>
    <row r="254" ht="22.5" customHeight="1">
      <c r="A254" s="26"/>
      <c r="D254" s="26"/>
      <c r="E254" s="26"/>
      <c r="F254" s="26"/>
      <c r="H254" s="44" t="str">
        <f>IF(AND(VLOOKUP(A254,MasterMaterials!A:J,10,FALSE)&lt;&gt;"",VLOOKUP(A254,MasterMaterials!A:J,10,FALSE)&lt;&gt;0),VLOOKUP(A254,MasterMaterials!A:J,10,FALSE),ROUND(I254*1.15/0.688,2))</f>
        <v>#N/A</v>
      </c>
      <c r="I254" s="44" t="str">
        <f>VLOOKUP(A254,MasterMaterials!A:I,9,FALSE)</f>
        <v>#N/A</v>
      </c>
      <c r="J254" s="26"/>
      <c r="M254" s="26"/>
    </row>
    <row r="255" ht="22.5" customHeight="1">
      <c r="A255" s="26"/>
      <c r="D255" s="26"/>
      <c r="E255" s="26"/>
      <c r="F255" s="26"/>
      <c r="H255" s="44" t="str">
        <f>IF(AND(VLOOKUP(A255,MasterMaterials!A:J,10,FALSE)&lt;&gt;"",VLOOKUP(A255,MasterMaterials!A:J,10,FALSE)&lt;&gt;0),VLOOKUP(A255,MasterMaterials!A:J,10,FALSE),ROUND(I255*1.15/0.688,2))</f>
        <v>#N/A</v>
      </c>
      <c r="I255" s="44" t="str">
        <f>VLOOKUP(A255,MasterMaterials!A:I,9,FALSE)</f>
        <v>#N/A</v>
      </c>
      <c r="J255" s="26"/>
      <c r="M255" s="26"/>
    </row>
    <row r="256" ht="22.5" customHeight="1">
      <c r="A256" s="26"/>
      <c r="D256" s="26"/>
      <c r="E256" s="26"/>
      <c r="F256" s="26"/>
      <c r="H256" s="44" t="str">
        <f>IF(AND(VLOOKUP(A256,MasterMaterials!A:J,10,FALSE)&lt;&gt;"",VLOOKUP(A256,MasterMaterials!A:J,10,FALSE)&lt;&gt;0),VLOOKUP(A256,MasterMaterials!A:J,10,FALSE),ROUND(I256*1.15/0.688,2))</f>
        <v>#N/A</v>
      </c>
      <c r="I256" s="44" t="str">
        <f>VLOOKUP(A256,MasterMaterials!A:I,9,FALSE)</f>
        <v>#N/A</v>
      </c>
      <c r="J256" s="26"/>
      <c r="M256" s="26"/>
    </row>
    <row r="257" ht="22.5" customHeight="1">
      <c r="A257" s="26"/>
      <c r="D257" s="26"/>
      <c r="E257" s="26"/>
      <c r="F257" s="26"/>
      <c r="H257" s="44" t="str">
        <f>IF(AND(VLOOKUP(A257,MasterMaterials!A:J,10,FALSE)&lt;&gt;"",VLOOKUP(A257,MasterMaterials!A:J,10,FALSE)&lt;&gt;0),VLOOKUP(A257,MasterMaterials!A:J,10,FALSE),ROUND(I257*1.15/0.688,2))</f>
        <v>#N/A</v>
      </c>
      <c r="I257" s="44" t="str">
        <f>VLOOKUP(A257,MasterMaterials!A:I,9,FALSE)</f>
        <v>#N/A</v>
      </c>
      <c r="J257" s="26"/>
      <c r="M257" s="26"/>
    </row>
    <row r="258" ht="22.5" customHeight="1">
      <c r="A258" s="26"/>
      <c r="D258" s="26"/>
      <c r="E258" s="26"/>
      <c r="F258" s="26"/>
      <c r="H258" s="44" t="str">
        <f>IF(AND(VLOOKUP(A258,MasterMaterials!A:J,10,FALSE)&lt;&gt;"",VLOOKUP(A258,MasterMaterials!A:J,10,FALSE)&lt;&gt;0),VLOOKUP(A258,MasterMaterials!A:J,10,FALSE),ROUND(I258*1.15/0.688,2))</f>
        <v>#N/A</v>
      </c>
      <c r="I258" s="44" t="str">
        <f>VLOOKUP(A258,MasterMaterials!A:I,9,FALSE)</f>
        <v>#N/A</v>
      </c>
      <c r="J258" s="26"/>
      <c r="M258" s="26"/>
    </row>
    <row r="259" ht="22.5" customHeight="1">
      <c r="A259" s="26"/>
      <c r="D259" s="26"/>
      <c r="E259" s="26"/>
      <c r="F259" s="26"/>
      <c r="H259" s="44" t="str">
        <f>IF(AND(VLOOKUP(A259,MasterMaterials!A:J,10,FALSE)&lt;&gt;"",VLOOKUP(A259,MasterMaterials!A:J,10,FALSE)&lt;&gt;0),VLOOKUP(A259,MasterMaterials!A:J,10,FALSE),ROUND(I259*1.15/0.688,2))</f>
        <v>#N/A</v>
      </c>
      <c r="I259" s="44" t="str">
        <f>VLOOKUP(A259,MasterMaterials!A:I,9,FALSE)</f>
        <v>#N/A</v>
      </c>
      <c r="J259" s="26"/>
      <c r="M259" s="26"/>
    </row>
    <row r="260" ht="22.5" customHeight="1">
      <c r="A260" s="26"/>
      <c r="D260" s="26"/>
      <c r="E260" s="26"/>
      <c r="F260" s="26"/>
      <c r="H260" s="44" t="str">
        <f>IF(AND(VLOOKUP(A260,MasterMaterials!A:J,10,FALSE)&lt;&gt;"",VLOOKUP(A260,MasterMaterials!A:J,10,FALSE)&lt;&gt;0),VLOOKUP(A260,MasterMaterials!A:J,10,FALSE),ROUND(I260*1.15/0.688,2))</f>
        <v>#N/A</v>
      </c>
      <c r="I260" s="44" t="str">
        <f>VLOOKUP(A260,MasterMaterials!A:I,9,FALSE)</f>
        <v>#N/A</v>
      </c>
      <c r="J260" s="26"/>
      <c r="M260" s="26"/>
    </row>
    <row r="261" ht="22.5" customHeight="1">
      <c r="A261" s="26"/>
      <c r="D261" s="26"/>
      <c r="E261" s="26"/>
      <c r="F261" s="26"/>
      <c r="H261" s="44" t="str">
        <f>IF(AND(VLOOKUP(A261,MasterMaterials!A:J,10,FALSE)&lt;&gt;"",VLOOKUP(A261,MasterMaterials!A:J,10,FALSE)&lt;&gt;0),VLOOKUP(A261,MasterMaterials!A:J,10,FALSE),ROUND(I261*1.15/0.688,2))</f>
        <v>#N/A</v>
      </c>
      <c r="I261" s="44" t="str">
        <f>VLOOKUP(A261,MasterMaterials!A:I,9,FALSE)</f>
        <v>#N/A</v>
      </c>
      <c r="J261" s="26"/>
      <c r="M261" s="26"/>
    </row>
    <row r="262" ht="22.5" customHeight="1">
      <c r="A262" s="26"/>
      <c r="D262" s="26"/>
      <c r="E262" s="26"/>
      <c r="F262" s="26"/>
      <c r="H262" s="44" t="str">
        <f>IF(AND(VLOOKUP(A262,MasterMaterials!A:J,10,FALSE)&lt;&gt;"",VLOOKUP(A262,MasterMaterials!A:J,10,FALSE)&lt;&gt;0),VLOOKUP(A262,MasterMaterials!A:J,10,FALSE),ROUND(I262*1.15/0.688,2))</f>
        <v>#N/A</v>
      </c>
      <c r="I262" s="44" t="str">
        <f>VLOOKUP(A262,MasterMaterials!A:I,9,FALSE)</f>
        <v>#N/A</v>
      </c>
      <c r="J262" s="26"/>
      <c r="M262" s="26"/>
    </row>
    <row r="263" ht="22.5" customHeight="1">
      <c r="A263" s="26"/>
      <c r="D263" s="26"/>
      <c r="E263" s="26"/>
      <c r="F263" s="26"/>
      <c r="H263" s="44" t="str">
        <f>IF(AND(VLOOKUP(A263,MasterMaterials!A:J,10,FALSE)&lt;&gt;"",VLOOKUP(A263,MasterMaterials!A:J,10,FALSE)&lt;&gt;0),VLOOKUP(A263,MasterMaterials!A:J,10,FALSE),ROUND(I263*1.15/0.688,2))</f>
        <v>#N/A</v>
      </c>
      <c r="I263" s="44" t="str">
        <f>VLOOKUP(A263,MasterMaterials!A:I,9,FALSE)</f>
        <v>#N/A</v>
      </c>
      <c r="J263" s="26"/>
      <c r="M263" s="26"/>
    </row>
    <row r="264" ht="22.5" customHeight="1">
      <c r="A264" s="26"/>
      <c r="D264" s="26"/>
      <c r="E264" s="26"/>
      <c r="F264" s="26"/>
      <c r="H264" s="44" t="str">
        <f>IF(AND(VLOOKUP(A264,MasterMaterials!A:J,10,FALSE)&lt;&gt;"",VLOOKUP(A264,MasterMaterials!A:J,10,FALSE)&lt;&gt;0),VLOOKUP(A264,MasterMaterials!A:J,10,FALSE),ROUND(I264*1.15/0.688,2))</f>
        <v>#N/A</v>
      </c>
      <c r="I264" s="44" t="str">
        <f>VLOOKUP(A264,MasterMaterials!A:I,9,FALSE)</f>
        <v>#N/A</v>
      </c>
      <c r="J264" s="26"/>
      <c r="M264" s="26"/>
    </row>
    <row r="265" ht="22.5" customHeight="1">
      <c r="A265" s="26"/>
      <c r="D265" s="26"/>
      <c r="E265" s="26"/>
      <c r="F265" s="26"/>
      <c r="H265" s="44" t="str">
        <f>IF(AND(VLOOKUP(A265,MasterMaterials!A:J,10,FALSE)&lt;&gt;"",VLOOKUP(A265,MasterMaterials!A:J,10,FALSE)&lt;&gt;0),VLOOKUP(A265,MasterMaterials!A:J,10,FALSE),ROUND(I265*1.15/0.688,2))</f>
        <v>#N/A</v>
      </c>
      <c r="I265" s="44" t="str">
        <f>VLOOKUP(A265,MasterMaterials!A:I,9,FALSE)</f>
        <v>#N/A</v>
      </c>
      <c r="J265" s="26"/>
      <c r="M265" s="26"/>
    </row>
    <row r="266" ht="22.5" customHeight="1">
      <c r="A266" s="26"/>
      <c r="D266" s="26"/>
      <c r="E266" s="26"/>
      <c r="F266" s="26"/>
      <c r="H266" s="44" t="str">
        <f>IF(AND(VLOOKUP(A266,MasterMaterials!A:J,10,FALSE)&lt;&gt;"",VLOOKUP(A266,MasterMaterials!A:J,10,FALSE)&lt;&gt;0),VLOOKUP(A266,MasterMaterials!A:J,10,FALSE),ROUND(I266*1.15/0.688,2))</f>
        <v>#N/A</v>
      </c>
      <c r="I266" s="44" t="str">
        <f>VLOOKUP(A266,MasterMaterials!A:I,9,FALSE)</f>
        <v>#N/A</v>
      </c>
      <c r="J266" s="26"/>
      <c r="M266" s="26"/>
    </row>
    <row r="267" ht="22.5" customHeight="1">
      <c r="A267" s="26"/>
      <c r="D267" s="26"/>
      <c r="E267" s="26"/>
      <c r="F267" s="26"/>
      <c r="H267" s="44" t="str">
        <f>IF(AND(VLOOKUP(A267,MasterMaterials!A:J,10,FALSE)&lt;&gt;"",VLOOKUP(A267,MasterMaterials!A:J,10,FALSE)&lt;&gt;0),VLOOKUP(A267,MasterMaterials!A:J,10,FALSE),ROUND(I267*1.15/0.688,2))</f>
        <v>#N/A</v>
      </c>
      <c r="I267" s="44" t="str">
        <f>VLOOKUP(A267,MasterMaterials!A:I,9,FALSE)</f>
        <v>#N/A</v>
      </c>
      <c r="J267" s="26"/>
      <c r="M267" s="26"/>
    </row>
    <row r="268" ht="22.5" customHeight="1">
      <c r="A268" s="26"/>
      <c r="D268" s="26"/>
      <c r="E268" s="26"/>
      <c r="F268" s="26"/>
      <c r="H268" s="44" t="str">
        <f>IF(AND(VLOOKUP(A268,MasterMaterials!A:J,10,FALSE)&lt;&gt;"",VLOOKUP(A268,MasterMaterials!A:J,10,FALSE)&lt;&gt;0),VLOOKUP(A268,MasterMaterials!A:J,10,FALSE),ROUND(I268*1.15/0.688,2))</f>
        <v>#N/A</v>
      </c>
      <c r="I268" s="44" t="str">
        <f>VLOOKUP(A268,MasterMaterials!A:I,9,FALSE)</f>
        <v>#N/A</v>
      </c>
      <c r="J268" s="26"/>
      <c r="M268" s="26"/>
    </row>
    <row r="269" ht="22.5" customHeight="1">
      <c r="A269" s="26"/>
      <c r="D269" s="26"/>
      <c r="E269" s="26"/>
      <c r="F269" s="26"/>
      <c r="H269" s="44" t="str">
        <f>IF(AND(VLOOKUP(A269,MasterMaterials!A:J,10,FALSE)&lt;&gt;"",VLOOKUP(A269,MasterMaterials!A:J,10,FALSE)&lt;&gt;0),VLOOKUP(A269,MasterMaterials!A:J,10,FALSE),ROUND(I269*1.15/0.688,2))</f>
        <v>#N/A</v>
      </c>
      <c r="I269" s="44" t="str">
        <f>VLOOKUP(A269,MasterMaterials!A:I,9,FALSE)</f>
        <v>#N/A</v>
      </c>
      <c r="J269" s="26"/>
      <c r="M269" s="26"/>
    </row>
    <row r="270" ht="22.5" customHeight="1">
      <c r="A270" s="26"/>
      <c r="D270" s="26"/>
      <c r="E270" s="26"/>
      <c r="F270" s="26"/>
      <c r="H270" s="44" t="str">
        <f>IF(AND(VLOOKUP(A270,MasterMaterials!A:J,10,FALSE)&lt;&gt;"",VLOOKUP(A270,MasterMaterials!A:J,10,FALSE)&lt;&gt;0),VLOOKUP(A270,MasterMaterials!A:J,10,FALSE),ROUND(I270*1.15/0.688,2))</f>
        <v>#N/A</v>
      </c>
      <c r="I270" s="44" t="str">
        <f>VLOOKUP(A270,MasterMaterials!A:I,9,FALSE)</f>
        <v>#N/A</v>
      </c>
      <c r="J270" s="26"/>
      <c r="M270" s="26"/>
    </row>
    <row r="271" ht="22.5" customHeight="1">
      <c r="A271" s="26"/>
      <c r="D271" s="26"/>
      <c r="E271" s="26"/>
      <c r="F271" s="26"/>
      <c r="H271" s="44" t="str">
        <f>IF(AND(VLOOKUP(A271,MasterMaterials!A:J,10,FALSE)&lt;&gt;"",VLOOKUP(A271,MasterMaterials!A:J,10,FALSE)&lt;&gt;0),VLOOKUP(A271,MasterMaterials!A:J,10,FALSE),ROUND(I271*1.15/0.688,2))</f>
        <v>#N/A</v>
      </c>
      <c r="I271" s="44" t="str">
        <f>VLOOKUP(A271,MasterMaterials!A:I,9,FALSE)</f>
        <v>#N/A</v>
      </c>
      <c r="J271" s="26"/>
      <c r="M271" s="26"/>
    </row>
    <row r="272" ht="22.5" customHeight="1">
      <c r="A272" s="26"/>
      <c r="D272" s="26"/>
      <c r="E272" s="26"/>
      <c r="F272" s="26"/>
      <c r="H272" s="44" t="str">
        <f>IF(AND(VLOOKUP(A272,MasterMaterials!A:J,10,FALSE)&lt;&gt;"",VLOOKUP(A272,MasterMaterials!A:J,10,FALSE)&lt;&gt;0),VLOOKUP(A272,MasterMaterials!A:J,10,FALSE),ROUND(I272*1.15/0.688,2))</f>
        <v>#N/A</v>
      </c>
      <c r="I272" s="44" t="str">
        <f>VLOOKUP(A272,MasterMaterials!A:I,9,FALSE)</f>
        <v>#N/A</v>
      </c>
      <c r="J272" s="26"/>
      <c r="M272" s="26"/>
    </row>
    <row r="273" ht="22.5" customHeight="1">
      <c r="A273" s="26"/>
      <c r="D273" s="26"/>
      <c r="E273" s="26"/>
      <c r="F273" s="26"/>
      <c r="H273" s="44" t="str">
        <f>IF(AND(VLOOKUP(A273,MasterMaterials!A:J,10,FALSE)&lt;&gt;"",VLOOKUP(A273,MasterMaterials!A:J,10,FALSE)&lt;&gt;0),VLOOKUP(A273,MasterMaterials!A:J,10,FALSE),ROUND(I273*1.15/0.688,2))</f>
        <v>#N/A</v>
      </c>
      <c r="I273" s="44" t="str">
        <f>VLOOKUP(A273,MasterMaterials!A:I,9,FALSE)</f>
        <v>#N/A</v>
      </c>
      <c r="J273" s="26"/>
      <c r="M273" s="26"/>
    </row>
    <row r="274" ht="22.5" customHeight="1">
      <c r="A274" s="26"/>
      <c r="D274" s="26"/>
      <c r="E274" s="26"/>
      <c r="F274" s="26"/>
      <c r="H274" s="44" t="str">
        <f>IF(AND(VLOOKUP(A274,MasterMaterials!A:J,10,FALSE)&lt;&gt;"",VLOOKUP(A274,MasterMaterials!A:J,10,FALSE)&lt;&gt;0),VLOOKUP(A274,MasterMaterials!A:J,10,FALSE),ROUND(I274*1.15/0.688,2))</f>
        <v>#N/A</v>
      </c>
      <c r="I274" s="44" t="str">
        <f>VLOOKUP(A274,MasterMaterials!A:I,9,FALSE)</f>
        <v>#N/A</v>
      </c>
      <c r="J274" s="26"/>
      <c r="M274" s="26"/>
    </row>
    <row r="275" ht="22.5" customHeight="1">
      <c r="A275" s="26"/>
      <c r="D275" s="26"/>
      <c r="E275" s="26"/>
      <c r="F275" s="26"/>
      <c r="H275" s="44" t="str">
        <f>IF(AND(VLOOKUP(A275,MasterMaterials!A:J,10,FALSE)&lt;&gt;"",VLOOKUP(A275,MasterMaterials!A:J,10,FALSE)&lt;&gt;0),VLOOKUP(A275,MasterMaterials!A:J,10,FALSE),ROUND(I275*1.15/0.688,2))</f>
        <v>#N/A</v>
      </c>
      <c r="I275" s="44" t="str">
        <f>VLOOKUP(A275,MasterMaterials!A:I,9,FALSE)</f>
        <v>#N/A</v>
      </c>
      <c r="J275" s="26"/>
      <c r="M275" s="26"/>
    </row>
    <row r="276" ht="22.5" customHeight="1">
      <c r="A276" s="26"/>
      <c r="D276" s="26"/>
      <c r="E276" s="26"/>
      <c r="F276" s="26"/>
      <c r="H276" s="44" t="str">
        <f>IF(AND(VLOOKUP(A276,MasterMaterials!A:J,10,FALSE)&lt;&gt;"",VLOOKUP(A276,MasterMaterials!A:J,10,FALSE)&lt;&gt;0),VLOOKUP(A276,MasterMaterials!A:J,10,FALSE),ROUND(I276*1.15/0.688,2))</f>
        <v>#N/A</v>
      </c>
      <c r="I276" s="44" t="str">
        <f>VLOOKUP(A276,MasterMaterials!A:I,9,FALSE)</f>
        <v>#N/A</v>
      </c>
      <c r="J276" s="26"/>
      <c r="M276" s="26"/>
    </row>
    <row r="277" ht="22.5" customHeight="1">
      <c r="A277" s="26"/>
      <c r="D277" s="26"/>
      <c r="E277" s="26"/>
      <c r="F277" s="26"/>
      <c r="H277" s="44" t="str">
        <f>IF(AND(VLOOKUP(A277,MasterMaterials!A:J,10,FALSE)&lt;&gt;"",VLOOKUP(A277,MasterMaterials!A:J,10,FALSE)&lt;&gt;0),VLOOKUP(A277,MasterMaterials!A:J,10,FALSE),ROUND(I277*1.15/0.688,2))</f>
        <v>#N/A</v>
      </c>
      <c r="I277" s="44" t="str">
        <f>VLOOKUP(A277,MasterMaterials!A:I,9,FALSE)</f>
        <v>#N/A</v>
      </c>
      <c r="J277" s="26"/>
      <c r="M277" s="26"/>
    </row>
    <row r="278" ht="22.5" customHeight="1">
      <c r="A278" s="26"/>
      <c r="D278" s="26"/>
      <c r="E278" s="26"/>
      <c r="F278" s="26"/>
      <c r="H278" s="44" t="str">
        <f>IF(AND(VLOOKUP(A278,MasterMaterials!A:J,10,FALSE)&lt;&gt;"",VLOOKUP(A278,MasterMaterials!A:J,10,FALSE)&lt;&gt;0),VLOOKUP(A278,MasterMaterials!A:J,10,FALSE),ROUND(I278*1.15/0.688,2))</f>
        <v>#N/A</v>
      </c>
      <c r="I278" s="44" t="str">
        <f>VLOOKUP(A278,MasterMaterials!A:I,9,FALSE)</f>
        <v>#N/A</v>
      </c>
      <c r="J278" s="26"/>
      <c r="M278" s="26"/>
    </row>
    <row r="279" ht="22.5" customHeight="1">
      <c r="A279" s="26"/>
      <c r="D279" s="26"/>
      <c r="E279" s="26"/>
      <c r="F279" s="26"/>
      <c r="H279" s="44" t="str">
        <f>IF(AND(VLOOKUP(A279,MasterMaterials!A:J,10,FALSE)&lt;&gt;"",VLOOKUP(A279,MasterMaterials!A:J,10,FALSE)&lt;&gt;0),VLOOKUP(A279,MasterMaterials!A:J,10,FALSE),ROUND(I279*1.15/0.688,2))</f>
        <v>#N/A</v>
      </c>
      <c r="I279" s="44" t="str">
        <f>VLOOKUP(A279,MasterMaterials!A:I,9,FALSE)</f>
        <v>#N/A</v>
      </c>
      <c r="J279" s="26"/>
      <c r="M279" s="26"/>
    </row>
    <row r="280" ht="22.5" customHeight="1">
      <c r="A280" s="26"/>
      <c r="D280" s="26"/>
      <c r="E280" s="26"/>
      <c r="F280" s="26"/>
      <c r="H280" s="44" t="str">
        <f>IF(AND(VLOOKUP(A280,MasterMaterials!A:J,10,FALSE)&lt;&gt;"",VLOOKUP(A280,MasterMaterials!A:J,10,FALSE)&lt;&gt;0),VLOOKUP(A280,MasterMaterials!A:J,10,FALSE),ROUND(I280*1.15/0.688,2))</f>
        <v>#N/A</v>
      </c>
      <c r="I280" s="44" t="str">
        <f>VLOOKUP(A280,MasterMaterials!A:I,9,FALSE)</f>
        <v>#N/A</v>
      </c>
      <c r="J280" s="26"/>
      <c r="M280" s="26"/>
    </row>
    <row r="281" ht="22.5" customHeight="1">
      <c r="A281" s="26"/>
      <c r="D281" s="26"/>
      <c r="E281" s="26"/>
      <c r="F281" s="26"/>
      <c r="H281" s="44" t="str">
        <f>IF(AND(VLOOKUP(A281,MasterMaterials!A:J,10,FALSE)&lt;&gt;"",VLOOKUP(A281,MasterMaterials!A:J,10,FALSE)&lt;&gt;0),VLOOKUP(A281,MasterMaterials!A:J,10,FALSE),ROUND(I281*1.15/0.688,2))</f>
        <v>#N/A</v>
      </c>
      <c r="I281" s="44" t="str">
        <f>VLOOKUP(A281,MasterMaterials!A:I,9,FALSE)</f>
        <v>#N/A</v>
      </c>
      <c r="J281" s="26"/>
      <c r="M281" s="26"/>
    </row>
    <row r="282" ht="22.5" customHeight="1">
      <c r="A282" s="26"/>
      <c r="D282" s="26"/>
      <c r="E282" s="26"/>
      <c r="F282" s="26"/>
      <c r="H282" s="44" t="str">
        <f>IF(AND(VLOOKUP(A282,MasterMaterials!A:J,10,FALSE)&lt;&gt;"",VLOOKUP(A282,MasterMaterials!A:J,10,FALSE)&lt;&gt;0),VLOOKUP(A282,MasterMaterials!A:J,10,FALSE),ROUND(I282*1.15/0.688,2))</f>
        <v>#N/A</v>
      </c>
      <c r="I282" s="44" t="str">
        <f>VLOOKUP(A282,MasterMaterials!A:I,9,FALSE)</f>
        <v>#N/A</v>
      </c>
      <c r="J282" s="26"/>
      <c r="M282" s="26"/>
    </row>
    <row r="283" ht="22.5" customHeight="1">
      <c r="A283" s="26"/>
      <c r="D283" s="26"/>
      <c r="E283" s="26"/>
      <c r="F283" s="26"/>
      <c r="H283" s="44" t="str">
        <f>IF(AND(VLOOKUP(A283,MasterMaterials!A:J,10,FALSE)&lt;&gt;"",VLOOKUP(A283,MasterMaterials!A:J,10,FALSE)&lt;&gt;0),VLOOKUP(A283,MasterMaterials!A:J,10,FALSE),ROUND(I283*1.15/0.688,2))</f>
        <v>#N/A</v>
      </c>
      <c r="I283" s="44" t="str">
        <f>VLOOKUP(A283,MasterMaterials!A:I,9,FALSE)</f>
        <v>#N/A</v>
      </c>
      <c r="J283" s="26"/>
      <c r="M283" s="26"/>
    </row>
    <row r="284" ht="22.5" customHeight="1">
      <c r="A284" s="26"/>
      <c r="D284" s="26"/>
      <c r="E284" s="26"/>
      <c r="F284" s="26"/>
      <c r="H284" s="44" t="str">
        <f>IF(AND(VLOOKUP(A284,MasterMaterials!A:J,10,FALSE)&lt;&gt;"",VLOOKUP(A284,MasterMaterials!A:J,10,FALSE)&lt;&gt;0),VLOOKUP(A284,MasterMaterials!A:J,10,FALSE),ROUND(I284*1.15/0.688,2))</f>
        <v>#N/A</v>
      </c>
      <c r="I284" s="44" t="str">
        <f>VLOOKUP(A284,MasterMaterials!A:I,9,FALSE)</f>
        <v>#N/A</v>
      </c>
      <c r="J284" s="26"/>
      <c r="M284" s="26"/>
    </row>
    <row r="285" ht="22.5" customHeight="1">
      <c r="A285" s="26"/>
      <c r="D285" s="26"/>
      <c r="E285" s="26"/>
      <c r="F285" s="26"/>
      <c r="H285" s="44" t="str">
        <f>IF(AND(VLOOKUP(A285,MasterMaterials!A:J,10,FALSE)&lt;&gt;"",VLOOKUP(A285,MasterMaterials!A:J,10,FALSE)&lt;&gt;0),VLOOKUP(A285,MasterMaterials!A:J,10,FALSE),ROUND(I285*1.15/0.688,2))</f>
        <v>#N/A</v>
      </c>
      <c r="I285" s="44" t="str">
        <f>VLOOKUP(A285,MasterMaterials!A:I,9,FALSE)</f>
        <v>#N/A</v>
      </c>
      <c r="J285" s="26"/>
      <c r="M285" s="26"/>
    </row>
    <row r="286" ht="22.5" customHeight="1">
      <c r="A286" s="26"/>
      <c r="D286" s="26"/>
      <c r="E286" s="26"/>
      <c r="F286" s="26"/>
      <c r="H286" s="44" t="str">
        <f>IF(AND(VLOOKUP(A286,MasterMaterials!A:J,10,FALSE)&lt;&gt;"",VLOOKUP(A286,MasterMaterials!A:J,10,FALSE)&lt;&gt;0),VLOOKUP(A286,MasterMaterials!A:J,10,FALSE),ROUND(I286*1.15/0.688,2))</f>
        <v>#N/A</v>
      </c>
      <c r="I286" s="44" t="str">
        <f>VLOOKUP(A286,MasterMaterials!A:I,9,FALSE)</f>
        <v>#N/A</v>
      </c>
      <c r="J286" s="26"/>
      <c r="M286" s="26"/>
    </row>
    <row r="287" ht="22.5" customHeight="1">
      <c r="A287" s="26"/>
      <c r="D287" s="26"/>
      <c r="E287" s="26"/>
      <c r="F287" s="26"/>
      <c r="H287" s="44" t="str">
        <f>IF(AND(VLOOKUP(A287,MasterMaterials!A:J,10,FALSE)&lt;&gt;"",VLOOKUP(A287,MasterMaterials!A:J,10,FALSE)&lt;&gt;0),VLOOKUP(A287,MasterMaterials!A:J,10,FALSE),ROUND(I287*1.15/0.688,2))</f>
        <v>#N/A</v>
      </c>
      <c r="I287" s="44" t="str">
        <f>VLOOKUP(A287,MasterMaterials!A:I,9,FALSE)</f>
        <v>#N/A</v>
      </c>
      <c r="J287" s="26"/>
      <c r="M287" s="26"/>
    </row>
    <row r="288" ht="22.5" customHeight="1">
      <c r="A288" s="26"/>
      <c r="D288" s="26"/>
      <c r="E288" s="26"/>
      <c r="F288" s="26"/>
      <c r="H288" s="44" t="str">
        <f>IF(AND(VLOOKUP(A288,MasterMaterials!A:J,10,FALSE)&lt;&gt;"",VLOOKUP(A288,MasterMaterials!A:J,10,FALSE)&lt;&gt;0),VLOOKUP(A288,MasterMaterials!A:J,10,FALSE),ROUND(I288*1.15/0.688,2))</f>
        <v>#N/A</v>
      </c>
      <c r="I288" s="44" t="str">
        <f>VLOOKUP(A288,MasterMaterials!A:I,9,FALSE)</f>
        <v>#N/A</v>
      </c>
      <c r="J288" s="26"/>
      <c r="M288" s="26"/>
    </row>
    <row r="289" ht="22.5" customHeight="1">
      <c r="A289" s="26"/>
      <c r="D289" s="26"/>
      <c r="E289" s="26"/>
      <c r="F289" s="26"/>
      <c r="H289" s="44" t="str">
        <f>IF(AND(VLOOKUP(A289,MasterMaterials!A:J,10,FALSE)&lt;&gt;"",VLOOKUP(A289,MasterMaterials!A:J,10,FALSE)&lt;&gt;0),VLOOKUP(A289,MasterMaterials!A:J,10,FALSE),ROUND(I289*1.15/0.688,2))</f>
        <v>#N/A</v>
      </c>
      <c r="I289" s="44" t="str">
        <f>VLOOKUP(A289,MasterMaterials!A:I,9,FALSE)</f>
        <v>#N/A</v>
      </c>
      <c r="J289" s="26"/>
      <c r="M289" s="26"/>
    </row>
    <row r="290" ht="22.5" customHeight="1">
      <c r="A290" s="26"/>
      <c r="D290" s="26"/>
      <c r="E290" s="26"/>
      <c r="F290" s="26"/>
      <c r="H290" s="44" t="str">
        <f>IF(AND(VLOOKUP(A290,MasterMaterials!A:J,10,FALSE)&lt;&gt;"",VLOOKUP(A290,MasterMaterials!A:J,10,FALSE)&lt;&gt;0),VLOOKUP(A290,MasterMaterials!A:J,10,FALSE),ROUND(I290*1.15/0.688,2))</f>
        <v>#N/A</v>
      </c>
      <c r="I290" s="44" t="str">
        <f>VLOOKUP(A290,MasterMaterials!A:I,9,FALSE)</f>
        <v>#N/A</v>
      </c>
      <c r="J290" s="26"/>
      <c r="M290" s="26"/>
    </row>
    <row r="291" ht="22.5" customHeight="1">
      <c r="A291" s="26"/>
      <c r="D291" s="26"/>
      <c r="E291" s="26"/>
      <c r="F291" s="26"/>
      <c r="H291" s="44" t="str">
        <f>IF(AND(VLOOKUP(A291,MasterMaterials!A:J,10,FALSE)&lt;&gt;"",VLOOKUP(A291,MasterMaterials!A:J,10,FALSE)&lt;&gt;0),VLOOKUP(A291,MasterMaterials!A:J,10,FALSE),ROUND(I291*1.15/0.688,2))</f>
        <v>#N/A</v>
      </c>
      <c r="I291" s="44" t="str">
        <f>VLOOKUP(A291,MasterMaterials!A:I,9,FALSE)</f>
        <v>#N/A</v>
      </c>
      <c r="J291" s="26"/>
      <c r="M291" s="26"/>
    </row>
    <row r="292" ht="22.5" customHeight="1">
      <c r="A292" s="26"/>
      <c r="D292" s="26"/>
      <c r="E292" s="26"/>
      <c r="F292" s="26"/>
      <c r="H292" s="44" t="str">
        <f>IF(AND(VLOOKUP(A292,MasterMaterials!A:J,10,FALSE)&lt;&gt;"",VLOOKUP(A292,MasterMaterials!A:J,10,FALSE)&lt;&gt;0),VLOOKUP(A292,MasterMaterials!A:J,10,FALSE),ROUND(I292*1.15/0.688,2))</f>
        <v>#N/A</v>
      </c>
      <c r="I292" s="44" t="str">
        <f>VLOOKUP(A292,MasterMaterials!A:I,9,FALSE)</f>
        <v>#N/A</v>
      </c>
      <c r="J292" s="26"/>
      <c r="M292" s="26"/>
    </row>
    <row r="293" ht="22.5" customHeight="1">
      <c r="A293" s="26"/>
      <c r="D293" s="26"/>
      <c r="E293" s="26"/>
      <c r="F293" s="26"/>
      <c r="H293" s="44" t="str">
        <f>IF(AND(VLOOKUP(A293,MasterMaterials!A:J,10,FALSE)&lt;&gt;"",VLOOKUP(A293,MasterMaterials!A:J,10,FALSE)&lt;&gt;0),VLOOKUP(A293,MasterMaterials!A:J,10,FALSE),ROUND(I293*1.15/0.688,2))</f>
        <v>#N/A</v>
      </c>
      <c r="I293" s="44" t="str">
        <f>VLOOKUP(A293,MasterMaterials!A:I,9,FALSE)</f>
        <v>#N/A</v>
      </c>
      <c r="J293" s="26"/>
      <c r="M293" s="26"/>
    </row>
    <row r="294" ht="22.5" customHeight="1">
      <c r="A294" s="26"/>
      <c r="D294" s="26"/>
      <c r="E294" s="26"/>
      <c r="F294" s="26"/>
      <c r="H294" s="44" t="str">
        <f>IF(AND(VLOOKUP(A294,MasterMaterials!A:J,10,FALSE)&lt;&gt;"",VLOOKUP(A294,MasterMaterials!A:J,10,FALSE)&lt;&gt;0),VLOOKUP(A294,MasterMaterials!A:J,10,FALSE),ROUND(I294*1.15/0.688,2))</f>
        <v>#N/A</v>
      </c>
      <c r="I294" s="44" t="str">
        <f>VLOOKUP(A294,MasterMaterials!A:I,9,FALSE)</f>
        <v>#N/A</v>
      </c>
      <c r="J294" s="26"/>
      <c r="M294" s="26"/>
    </row>
    <row r="295" ht="22.5" customHeight="1">
      <c r="A295" s="26"/>
      <c r="D295" s="26"/>
      <c r="E295" s="26"/>
      <c r="F295" s="26"/>
      <c r="H295" s="44" t="str">
        <f>IF(AND(VLOOKUP(A295,MasterMaterials!A:J,10,FALSE)&lt;&gt;"",VLOOKUP(A295,MasterMaterials!A:J,10,FALSE)&lt;&gt;0),VLOOKUP(A295,MasterMaterials!A:J,10,FALSE),ROUND(I295*1.15/0.688,2))</f>
        <v>#N/A</v>
      </c>
      <c r="I295" s="44" t="str">
        <f>VLOOKUP(A295,MasterMaterials!A:I,9,FALSE)</f>
        <v>#N/A</v>
      </c>
      <c r="J295" s="26"/>
      <c r="M295" s="26"/>
    </row>
    <row r="296" ht="22.5" customHeight="1">
      <c r="A296" s="26"/>
      <c r="D296" s="26"/>
      <c r="E296" s="26"/>
      <c r="F296" s="26"/>
      <c r="H296" s="44" t="str">
        <f>IF(AND(VLOOKUP(A296,MasterMaterials!A:J,10,FALSE)&lt;&gt;"",VLOOKUP(A296,MasterMaterials!A:J,10,FALSE)&lt;&gt;0),VLOOKUP(A296,MasterMaterials!A:J,10,FALSE),ROUND(I296*1.15/0.688,2))</f>
        <v>#N/A</v>
      </c>
      <c r="I296" s="44" t="str">
        <f>VLOOKUP(A296,MasterMaterials!A:I,9,FALSE)</f>
        <v>#N/A</v>
      </c>
      <c r="J296" s="26"/>
      <c r="M296" s="26"/>
    </row>
    <row r="297" ht="22.5" customHeight="1">
      <c r="A297" s="26"/>
      <c r="D297" s="26"/>
      <c r="E297" s="26"/>
      <c r="F297" s="26"/>
      <c r="H297" s="44" t="str">
        <f>IF(AND(VLOOKUP(A297,MasterMaterials!A:J,10,FALSE)&lt;&gt;"",VLOOKUP(A297,MasterMaterials!A:J,10,FALSE)&lt;&gt;0),VLOOKUP(A297,MasterMaterials!A:J,10,FALSE),ROUND(I297*1.15/0.688,2))</f>
        <v>#N/A</v>
      </c>
      <c r="I297" s="44" t="str">
        <f>VLOOKUP(A297,MasterMaterials!A:I,9,FALSE)</f>
        <v>#N/A</v>
      </c>
      <c r="J297" s="26"/>
      <c r="M297" s="26"/>
    </row>
    <row r="298" ht="22.5" customHeight="1">
      <c r="A298" s="26"/>
      <c r="D298" s="26"/>
      <c r="E298" s="26"/>
      <c r="F298" s="26"/>
      <c r="H298" s="44" t="str">
        <f>IF(AND(VLOOKUP(A298,MasterMaterials!A:J,10,FALSE)&lt;&gt;"",VLOOKUP(A298,MasterMaterials!A:J,10,FALSE)&lt;&gt;0),VLOOKUP(A298,MasterMaterials!A:J,10,FALSE),ROUND(I298*1.15/0.688,2))</f>
        <v>#N/A</v>
      </c>
      <c r="I298" s="44" t="str">
        <f>VLOOKUP(A298,MasterMaterials!A:I,9,FALSE)</f>
        <v>#N/A</v>
      </c>
      <c r="J298" s="26"/>
      <c r="M298" s="26"/>
    </row>
    <row r="299" ht="22.5" customHeight="1">
      <c r="A299" s="26"/>
      <c r="D299" s="26"/>
      <c r="E299" s="26"/>
      <c r="F299" s="26"/>
      <c r="H299" s="44" t="str">
        <f>IF(AND(VLOOKUP(A299,MasterMaterials!A:J,10,FALSE)&lt;&gt;"",VLOOKUP(A299,MasterMaterials!A:J,10,FALSE)&lt;&gt;0),VLOOKUP(A299,MasterMaterials!A:J,10,FALSE),ROUND(I299*1.15/0.688,2))</f>
        <v>#N/A</v>
      </c>
      <c r="I299" s="44" t="str">
        <f>VLOOKUP(A299,MasterMaterials!A:I,9,FALSE)</f>
        <v>#N/A</v>
      </c>
      <c r="J299" s="26"/>
      <c r="M299" s="26"/>
    </row>
    <row r="300" ht="22.5" customHeight="1">
      <c r="A300" s="26"/>
      <c r="D300" s="26"/>
      <c r="E300" s="26"/>
      <c r="F300" s="26"/>
      <c r="H300" s="44" t="str">
        <f>IF(AND(VLOOKUP(A300,MasterMaterials!A:J,10,FALSE)&lt;&gt;"",VLOOKUP(A300,MasterMaterials!A:J,10,FALSE)&lt;&gt;0),VLOOKUP(A300,MasterMaterials!A:J,10,FALSE),ROUND(I300*1.15/0.688,2))</f>
        <v>#N/A</v>
      </c>
      <c r="I300" s="44" t="str">
        <f>VLOOKUP(A300,MasterMaterials!A:I,9,FALSE)</f>
        <v>#N/A</v>
      </c>
      <c r="J300" s="26"/>
      <c r="M300" s="26"/>
    </row>
    <row r="301" ht="22.5" customHeight="1">
      <c r="A301" s="26"/>
      <c r="D301" s="26"/>
      <c r="E301" s="26"/>
      <c r="F301" s="26"/>
      <c r="H301" s="44" t="str">
        <f>IF(AND(VLOOKUP(A301,MasterMaterials!A:J,10,FALSE)&lt;&gt;"",VLOOKUP(A301,MasterMaterials!A:J,10,FALSE)&lt;&gt;0),VLOOKUP(A301,MasterMaterials!A:J,10,FALSE),ROUND(I301*1.15/0.688,2))</f>
        <v>#N/A</v>
      </c>
      <c r="I301" s="44" t="str">
        <f>VLOOKUP(A301,MasterMaterials!A:I,9,FALSE)</f>
        <v>#N/A</v>
      </c>
      <c r="J301" s="26"/>
      <c r="M301" s="26"/>
    </row>
    <row r="302" ht="22.5" customHeight="1">
      <c r="A302" s="26"/>
      <c r="D302" s="26"/>
      <c r="E302" s="26"/>
      <c r="F302" s="26"/>
      <c r="H302" s="44" t="str">
        <f>IF(AND(VLOOKUP(A302,MasterMaterials!A:J,10,FALSE)&lt;&gt;"",VLOOKUP(A302,MasterMaterials!A:J,10,FALSE)&lt;&gt;0),VLOOKUP(A302,MasterMaterials!A:J,10,FALSE),ROUND(I302*1.15/0.688,2))</f>
        <v>#N/A</v>
      </c>
      <c r="I302" s="44" t="str">
        <f>VLOOKUP(A302,MasterMaterials!A:I,9,FALSE)</f>
        <v>#N/A</v>
      </c>
      <c r="J302" s="26"/>
      <c r="M302" s="26"/>
    </row>
    <row r="303" ht="22.5" customHeight="1">
      <c r="A303" s="26"/>
      <c r="D303" s="26"/>
      <c r="E303" s="26"/>
      <c r="F303" s="26"/>
      <c r="H303" s="44" t="str">
        <f>IF(AND(VLOOKUP(A303,MasterMaterials!A:J,10,FALSE)&lt;&gt;"",VLOOKUP(A303,MasterMaterials!A:J,10,FALSE)&lt;&gt;0),VLOOKUP(A303,MasterMaterials!A:J,10,FALSE),ROUND(I303*1.15/0.688,2))</f>
        <v>#N/A</v>
      </c>
      <c r="I303" s="44" t="str">
        <f>VLOOKUP(A303,MasterMaterials!A:I,9,FALSE)</f>
        <v>#N/A</v>
      </c>
      <c r="J303" s="26"/>
      <c r="M303" s="26"/>
    </row>
    <row r="304" ht="22.5" customHeight="1">
      <c r="A304" s="26"/>
      <c r="D304" s="26"/>
      <c r="E304" s="26"/>
      <c r="F304" s="26"/>
      <c r="H304" s="44" t="str">
        <f>IF(AND(VLOOKUP(A304,MasterMaterials!A:J,10,FALSE)&lt;&gt;"",VLOOKUP(A304,MasterMaterials!A:J,10,FALSE)&lt;&gt;0),VLOOKUP(A304,MasterMaterials!A:J,10,FALSE),ROUND(I304*1.15/0.688,2))</f>
        <v>#N/A</v>
      </c>
      <c r="I304" s="44" t="str">
        <f>VLOOKUP(A304,MasterMaterials!A:I,9,FALSE)</f>
        <v>#N/A</v>
      </c>
      <c r="J304" s="26"/>
      <c r="M304" s="26"/>
    </row>
    <row r="305" ht="22.5" customHeight="1">
      <c r="A305" s="26"/>
      <c r="D305" s="26"/>
      <c r="E305" s="26"/>
      <c r="F305" s="26"/>
      <c r="H305" s="44" t="str">
        <f>IF(AND(VLOOKUP(A305,MasterMaterials!A:J,10,FALSE)&lt;&gt;"",VLOOKUP(A305,MasterMaterials!A:J,10,FALSE)&lt;&gt;0),VLOOKUP(A305,MasterMaterials!A:J,10,FALSE),ROUND(I305*1.15/0.688,2))</f>
        <v>#N/A</v>
      </c>
      <c r="I305" s="44" t="str">
        <f>VLOOKUP(A305,MasterMaterials!A:I,9,FALSE)</f>
        <v>#N/A</v>
      </c>
      <c r="J305" s="26"/>
      <c r="M305" s="26"/>
    </row>
    <row r="306" ht="22.5" customHeight="1">
      <c r="A306" s="26"/>
      <c r="D306" s="26"/>
      <c r="E306" s="26"/>
      <c r="F306" s="26"/>
      <c r="H306" s="44" t="str">
        <f>IF(AND(VLOOKUP(A306,MasterMaterials!A:J,10,FALSE)&lt;&gt;"",VLOOKUP(A306,MasterMaterials!A:J,10,FALSE)&lt;&gt;0),VLOOKUP(A306,MasterMaterials!A:J,10,FALSE),ROUND(I306*1.15/0.688,2))</f>
        <v>#N/A</v>
      </c>
      <c r="I306" s="44" t="str">
        <f>VLOOKUP(A306,MasterMaterials!A:I,9,FALSE)</f>
        <v>#N/A</v>
      </c>
      <c r="J306" s="26"/>
      <c r="M306" s="26"/>
    </row>
    <row r="307" ht="22.5" customHeight="1">
      <c r="A307" s="26"/>
      <c r="D307" s="26"/>
      <c r="E307" s="26"/>
      <c r="F307" s="26"/>
      <c r="H307" s="44" t="str">
        <f>IF(AND(VLOOKUP(A307,MasterMaterials!A:J,10,FALSE)&lt;&gt;"",VLOOKUP(A307,MasterMaterials!A:J,10,FALSE)&lt;&gt;0),VLOOKUP(A307,MasterMaterials!A:J,10,FALSE),ROUND(I307*1.15/0.688,2))</f>
        <v>#N/A</v>
      </c>
      <c r="I307" s="44" t="str">
        <f>VLOOKUP(A307,MasterMaterials!A:I,9,FALSE)</f>
        <v>#N/A</v>
      </c>
      <c r="J307" s="26"/>
      <c r="M307" s="26"/>
    </row>
    <row r="308" ht="22.5" customHeight="1">
      <c r="A308" s="26"/>
      <c r="D308" s="26"/>
      <c r="E308" s="26"/>
      <c r="F308" s="26"/>
      <c r="H308" s="44" t="str">
        <f>IF(AND(VLOOKUP(A308,MasterMaterials!A:J,10,FALSE)&lt;&gt;"",VLOOKUP(A308,MasterMaterials!A:J,10,FALSE)&lt;&gt;0),VLOOKUP(A308,MasterMaterials!A:J,10,FALSE),ROUND(I308*1.15/0.688,2))</f>
        <v>#N/A</v>
      </c>
      <c r="I308" s="44" t="str">
        <f>VLOOKUP(A308,MasterMaterials!A:I,9,FALSE)</f>
        <v>#N/A</v>
      </c>
      <c r="J308" s="26"/>
      <c r="M308" s="26"/>
    </row>
    <row r="309" ht="22.5" customHeight="1">
      <c r="A309" s="26"/>
      <c r="D309" s="26"/>
      <c r="E309" s="26"/>
      <c r="F309" s="26"/>
      <c r="H309" s="44" t="str">
        <f>IF(AND(VLOOKUP(A309,MasterMaterials!A:J,10,FALSE)&lt;&gt;"",VLOOKUP(A309,MasterMaterials!A:J,10,FALSE)&lt;&gt;0),VLOOKUP(A309,MasterMaterials!A:J,10,FALSE),ROUND(I309*1.15/0.688,2))</f>
        <v>#N/A</v>
      </c>
      <c r="I309" s="44" t="str">
        <f>VLOOKUP(A309,MasterMaterials!A:I,9,FALSE)</f>
        <v>#N/A</v>
      </c>
      <c r="J309" s="26"/>
      <c r="M309" s="26"/>
    </row>
    <row r="310" ht="22.5" customHeight="1">
      <c r="A310" s="26"/>
      <c r="D310" s="26"/>
      <c r="E310" s="26"/>
      <c r="F310" s="26"/>
      <c r="H310" s="44" t="str">
        <f>IF(AND(VLOOKUP(A310,MasterMaterials!A:J,10,FALSE)&lt;&gt;"",VLOOKUP(A310,MasterMaterials!A:J,10,FALSE)&lt;&gt;0),VLOOKUP(A310,MasterMaterials!A:J,10,FALSE),ROUND(I310*1.15/0.688,2))</f>
        <v>#N/A</v>
      </c>
      <c r="I310" s="44" t="str">
        <f>VLOOKUP(A310,MasterMaterials!A:I,9,FALSE)</f>
        <v>#N/A</v>
      </c>
      <c r="J310" s="26"/>
      <c r="M310" s="26"/>
    </row>
    <row r="311" ht="22.5" customHeight="1">
      <c r="A311" s="26"/>
      <c r="D311" s="26"/>
      <c r="E311" s="26"/>
      <c r="F311" s="26"/>
      <c r="H311" s="44" t="str">
        <f>IF(AND(VLOOKUP(A311,MasterMaterials!A:J,10,FALSE)&lt;&gt;"",VLOOKUP(A311,MasterMaterials!A:J,10,FALSE)&lt;&gt;0),VLOOKUP(A311,MasterMaterials!A:J,10,FALSE),ROUND(I311*1.15/0.688,2))</f>
        <v>#N/A</v>
      </c>
      <c r="I311" s="44" t="str">
        <f>VLOOKUP(A311,MasterMaterials!A:I,9,FALSE)</f>
        <v>#N/A</v>
      </c>
      <c r="J311" s="26"/>
      <c r="M311" s="26"/>
    </row>
    <row r="312" ht="22.5" customHeight="1">
      <c r="A312" s="26"/>
      <c r="D312" s="26"/>
      <c r="E312" s="26"/>
      <c r="F312" s="26"/>
      <c r="H312" s="44" t="str">
        <f>IF(AND(VLOOKUP(A312,MasterMaterials!A:J,10,FALSE)&lt;&gt;"",VLOOKUP(A312,MasterMaterials!A:J,10,FALSE)&lt;&gt;0),VLOOKUP(A312,MasterMaterials!A:J,10,FALSE),ROUND(I312*1.15/0.688,2))</f>
        <v>#N/A</v>
      </c>
      <c r="I312" s="44" t="str">
        <f>VLOOKUP(A312,MasterMaterials!A:I,9,FALSE)</f>
        <v>#N/A</v>
      </c>
      <c r="J312" s="26"/>
      <c r="M312" s="26"/>
    </row>
    <row r="313" ht="22.5" customHeight="1">
      <c r="A313" s="26"/>
      <c r="D313" s="26"/>
      <c r="E313" s="26"/>
      <c r="F313" s="26"/>
      <c r="H313" s="44" t="str">
        <f>IF(AND(VLOOKUP(A313,MasterMaterials!A:J,10,FALSE)&lt;&gt;"",VLOOKUP(A313,MasterMaterials!A:J,10,FALSE)&lt;&gt;0),VLOOKUP(A313,MasterMaterials!A:J,10,FALSE),ROUND(I313*1.15/0.688,2))</f>
        <v>#N/A</v>
      </c>
      <c r="I313" s="44" t="str">
        <f>VLOOKUP(A313,MasterMaterials!A:I,9,FALSE)</f>
        <v>#N/A</v>
      </c>
      <c r="J313" s="26"/>
      <c r="M313" s="26"/>
    </row>
    <row r="314" ht="22.5" customHeight="1">
      <c r="A314" s="26"/>
      <c r="D314" s="26"/>
      <c r="E314" s="26"/>
      <c r="F314" s="26"/>
      <c r="H314" s="44" t="str">
        <f>IF(AND(VLOOKUP(A314,MasterMaterials!A:J,10,FALSE)&lt;&gt;"",VLOOKUP(A314,MasterMaterials!A:J,10,FALSE)&lt;&gt;0),VLOOKUP(A314,MasterMaterials!A:J,10,FALSE),ROUND(I314*1.15/0.688,2))</f>
        <v>#N/A</v>
      </c>
      <c r="I314" s="44" t="str">
        <f>VLOOKUP(A314,MasterMaterials!A:I,9,FALSE)</f>
        <v>#N/A</v>
      </c>
      <c r="J314" s="26"/>
      <c r="M314" s="2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tr">
        <f>MasterMaterials!A2</f>
        <v>Name</v>
      </c>
      <c r="B1" s="45" t="str">
        <f>MasterMaterials!B2</f>
        <v>ID</v>
      </c>
      <c r="C1" s="45" t="str">
        <f>MasterMaterials!C2</f>
        <v>Type</v>
      </c>
      <c r="D1" s="45" t="str">
        <f>MasterMaterials!D2</f>
        <v>Size</v>
      </c>
      <c r="E1" s="45" t="str">
        <f>MasterMaterials!E2</f>
        <v>Description</v>
      </c>
      <c r="F1" s="45" t="str">
        <f>MasterMaterials!F2</f>
        <v>Internal</v>
      </c>
      <c r="G1" s="45" t="str">
        <f>MasterMaterials!G2</f>
        <v>Units</v>
      </c>
      <c r="H1" s="45" t="str">
        <f>MasterMaterials!H2</f>
        <v>Round</v>
      </c>
      <c r="I1" s="45" t="str">
        <f>MasterMaterials!I2</f>
        <v>Cost</v>
      </c>
      <c r="J1" s="45" t="str">
        <f>MasterMaterials!J2</f>
        <v>Price</v>
      </c>
      <c r="K1" s="45" t="str">
        <f>MasterMaterials!K2</f>
        <v>FixedPrice</v>
      </c>
      <c r="L1" s="45" t="str">
        <f>MasterMaterials!L2</f>
        <v>Profit</v>
      </c>
      <c r="M1" s="45" t="str">
        <f>MasterMaterials!M2</f>
        <v>Ship</v>
      </c>
      <c r="N1" s="45" t="str">
        <f>MasterMaterials!N2</f>
        <v>Warranty</v>
      </c>
      <c r="O1" s="45" t="str">
        <f>MasterMaterials!O2</f>
        <v>LastEditDate</v>
      </c>
      <c r="Q1" s="45" t="str">
        <f>MasterMaterials!Q2</f>
        <v/>
      </c>
      <c r="R1" s="45" t="str">
        <f>MasterMaterials!R2</f>
        <v/>
      </c>
    </row>
    <row r="2">
      <c r="A2" s="45" t="str">
        <f>MasterMaterials!A3</f>
        <v>1.25" Poly Fitting</v>
      </c>
      <c r="B2" s="45" t="str">
        <f>MasterMaterials!B3</f>
        <v>NEW048</v>
      </c>
      <c r="C2" s="45" t="str">
        <f>MasterMaterials!C3</f>
        <v/>
      </c>
      <c r="D2" s="45" t="str">
        <f>MasterMaterials!D3</f>
        <v/>
      </c>
      <c r="E2" s="45" t="str">
        <f>MasterMaterials!E3</f>
        <v>1.25" Fitting, ea</v>
      </c>
      <c r="F2" s="45" t="str">
        <f>MasterMaterials!F3</f>
        <v/>
      </c>
      <c r="G2" s="45" t="str">
        <f>MasterMaterials!G3</f>
        <v>ea</v>
      </c>
      <c r="H2" s="45">
        <f>MasterMaterials!H3</f>
        <v>0</v>
      </c>
      <c r="I2" s="46">
        <f>MasterMaterials!I3</f>
        <v>2.24</v>
      </c>
      <c r="J2" s="47">
        <f>MasterMaterials!J3</f>
        <v>5.88</v>
      </c>
      <c r="K2" s="45" t="str">
        <f>MasterMaterials!K3</f>
        <v/>
      </c>
      <c r="L2" s="45" t="str">
        <f>MasterMaterials!L3</f>
        <v/>
      </c>
      <c r="M2" s="45" t="str">
        <f>MasterMaterials!M3</f>
        <v/>
      </c>
      <c r="N2" s="45" t="str">
        <f>MasterMaterials!N3</f>
        <v/>
      </c>
      <c r="O2" s="48" t="str">
        <f>MasterMaterials!O3</f>
        <v/>
      </c>
    </row>
    <row r="3">
      <c r="A3" s="45" t="str">
        <f>MasterMaterials!A4</f>
        <v>1.25" Poly, Ft</v>
      </c>
      <c r="B3" s="45" t="str">
        <f>MasterMaterials!B4</f>
        <v>NEW047</v>
      </c>
      <c r="C3" s="45" t="str">
        <f>MasterMaterials!C4</f>
        <v/>
      </c>
      <c r="D3" s="45" t="str">
        <f>MasterMaterials!D4</f>
        <v/>
      </c>
      <c r="E3" s="45" t="str">
        <f>MasterMaterials!E4</f>
        <v>1.25" Poly, Ft.</v>
      </c>
      <c r="F3" s="45" t="str">
        <f>MasterMaterials!F4</f>
        <v/>
      </c>
      <c r="G3" s="45" t="str">
        <f>MasterMaterials!G4</f>
        <v>ft</v>
      </c>
      <c r="H3" s="45">
        <f>MasterMaterials!H4</f>
        <v>0</v>
      </c>
      <c r="I3" s="46">
        <f>MasterMaterials!I4</f>
        <v>0.48</v>
      </c>
      <c r="J3" s="47">
        <f>MasterMaterials!J4</f>
        <v>1.18</v>
      </c>
      <c r="K3" s="45" t="str">
        <f>MasterMaterials!K4</f>
        <v>Y</v>
      </c>
      <c r="L3" s="45" t="str">
        <f>MasterMaterials!L4</f>
        <v/>
      </c>
      <c r="M3" s="45" t="str">
        <f>MasterMaterials!M4</f>
        <v/>
      </c>
      <c r="N3" s="45" t="str">
        <f>MasterMaterials!N4</f>
        <v/>
      </c>
      <c r="O3" s="48" t="str">
        <f>MasterMaterials!O4</f>
        <v/>
      </c>
    </row>
    <row r="4">
      <c r="A4" s="45" t="str">
        <f>MasterMaterials!A5</f>
        <v>1.25" Stretch Repair Coupling</v>
      </c>
      <c r="B4" s="45" t="str">
        <f>MasterMaterials!B5</f>
        <v>LMN42485636</v>
      </c>
      <c r="C4" s="45" t="str">
        <f>MasterMaterials!C5</f>
        <v>H</v>
      </c>
      <c r="D4" s="45" t="str">
        <f>MasterMaterials!D5</f>
        <v/>
      </c>
      <c r="E4" s="45" t="str">
        <f>MasterMaterials!E5</f>
        <v>1.25" Stretch Repair Coupling</v>
      </c>
      <c r="F4" s="45" t="str">
        <f>MasterMaterials!F5</f>
        <v/>
      </c>
      <c r="G4" s="45" t="str">
        <f>MasterMaterials!G5</f>
        <v>ea</v>
      </c>
      <c r="H4" s="45">
        <f>MasterMaterials!H5</f>
        <v>0</v>
      </c>
      <c r="I4" s="46">
        <f>MasterMaterials!I5</f>
        <v>20.72</v>
      </c>
      <c r="J4" s="47">
        <f>MasterMaterials!J5</f>
        <v>23.83</v>
      </c>
      <c r="K4" s="45" t="str">
        <f>MasterMaterials!K5</f>
        <v>Y</v>
      </c>
      <c r="L4" s="45" t="str">
        <f>MasterMaterials!L5</f>
        <v/>
      </c>
      <c r="M4" s="45" t="str">
        <f>MasterMaterials!M5</f>
        <v/>
      </c>
      <c r="N4" s="45" t="str">
        <f>MasterMaterials!N5</f>
        <v/>
      </c>
      <c r="O4" s="48">
        <f>MasterMaterials!O5</f>
        <v>45518</v>
      </c>
    </row>
    <row r="5">
      <c r="A5" s="45" t="str">
        <f>MasterMaterials!A6</f>
        <v>1.5" Poly Fitting, ea</v>
      </c>
      <c r="B5" s="45" t="str">
        <f>MasterMaterials!B6</f>
        <v>LMN40150704</v>
      </c>
      <c r="C5" s="45" t="str">
        <f>MasterMaterials!C6</f>
        <v>H</v>
      </c>
      <c r="D5" s="45" t="str">
        <f>MasterMaterials!D6</f>
        <v/>
      </c>
      <c r="E5" s="45" t="str">
        <f>MasterMaterials!E6</f>
        <v>1.5" Poly Fitting, ea</v>
      </c>
      <c r="F5" s="45" t="str">
        <f>MasterMaterials!F6</f>
        <v/>
      </c>
      <c r="G5" s="45" t="str">
        <f>MasterMaterials!G6</f>
        <v>ea</v>
      </c>
      <c r="H5" s="45">
        <f>MasterMaterials!H6</f>
        <v>0</v>
      </c>
      <c r="I5" s="46">
        <f>MasterMaterials!I6</f>
        <v>5.94</v>
      </c>
      <c r="J5" s="47">
        <f>MasterMaterials!J6</f>
        <v>13.19</v>
      </c>
      <c r="K5" s="45" t="str">
        <f>MasterMaterials!K6</f>
        <v>Y</v>
      </c>
      <c r="L5" s="45" t="str">
        <f>MasterMaterials!L6</f>
        <v/>
      </c>
      <c r="M5" s="45" t="str">
        <f>MasterMaterials!M6</f>
        <v/>
      </c>
      <c r="N5" s="45" t="str">
        <f>MasterMaterials!N6</f>
        <v/>
      </c>
      <c r="O5" s="48">
        <f>MasterMaterials!O6</f>
        <v>45988</v>
      </c>
    </row>
    <row r="6">
      <c r="A6" s="45" t="str">
        <f>MasterMaterials!A7</f>
        <v>1.5" Poly, ft</v>
      </c>
      <c r="B6" s="45" t="str">
        <f>MasterMaterials!B7</f>
        <v>LMN40150705</v>
      </c>
      <c r="C6" s="45" t="str">
        <f>MasterMaterials!C7</f>
        <v>H</v>
      </c>
      <c r="D6" s="45" t="str">
        <f>MasterMaterials!D7</f>
        <v/>
      </c>
      <c r="E6" s="45" t="str">
        <f>MasterMaterials!E7</f>
        <v>1.5" Poly, ft</v>
      </c>
      <c r="F6" s="45" t="str">
        <f>MasterMaterials!F7</f>
        <v/>
      </c>
      <c r="G6" s="45" t="str">
        <f>MasterMaterials!G7</f>
        <v>ft</v>
      </c>
      <c r="H6" s="45">
        <f>MasterMaterials!H7</f>
        <v>0</v>
      </c>
      <c r="I6" s="46">
        <f>MasterMaterials!I7</f>
        <v>0.87</v>
      </c>
      <c r="J6" s="47">
        <f>MasterMaterials!J7</f>
        <v>1.87</v>
      </c>
      <c r="K6" s="45" t="str">
        <f>MasterMaterials!K7</f>
        <v>Y</v>
      </c>
      <c r="L6" s="45" t="str">
        <f>MasterMaterials!L7</f>
        <v/>
      </c>
      <c r="M6" s="45" t="str">
        <f>MasterMaterials!M7</f>
        <v/>
      </c>
      <c r="N6" s="45" t="str">
        <f>MasterMaterials!N7</f>
        <v/>
      </c>
      <c r="O6" s="48">
        <f>MasterMaterials!O7</f>
        <v>45988</v>
      </c>
    </row>
    <row r="7">
      <c r="A7" s="45" t="str">
        <f>MasterMaterials!A8</f>
        <v>1.5" Stretch Repair Coupling, ea</v>
      </c>
      <c r="B7" s="45" t="str">
        <f>MasterMaterials!B8</f>
        <v>LMN42486243</v>
      </c>
      <c r="C7" s="45" t="str">
        <f>MasterMaterials!C8</f>
        <v>H</v>
      </c>
      <c r="D7" s="45" t="str">
        <f>MasterMaterials!D8</f>
        <v/>
      </c>
      <c r="E7" s="45" t="str">
        <f>MasterMaterials!E8</f>
        <v>1.5" Stretch Repair Coupling, ea</v>
      </c>
      <c r="F7" s="45" t="str">
        <f>MasterMaterials!F8</f>
        <v/>
      </c>
      <c r="G7" s="45" t="str">
        <f>MasterMaterials!G8</f>
        <v>ea</v>
      </c>
      <c r="H7" s="45">
        <f>MasterMaterials!H8</f>
        <v>0</v>
      </c>
      <c r="I7" s="46">
        <f>MasterMaterials!I8</f>
        <v>22.8</v>
      </c>
      <c r="J7" s="47">
        <f>MasterMaterials!J8</f>
        <v>26.22</v>
      </c>
      <c r="K7" s="45" t="str">
        <f>MasterMaterials!K8</f>
        <v>Y</v>
      </c>
      <c r="L7" s="45" t="str">
        <f>MasterMaterials!L8</f>
        <v/>
      </c>
      <c r="M7" s="45" t="str">
        <f>MasterMaterials!M8</f>
        <v/>
      </c>
      <c r="N7" s="45" t="str">
        <f>MasterMaterials!N8</f>
        <v/>
      </c>
      <c r="O7" s="48">
        <f>MasterMaterials!O8</f>
        <v>45988</v>
      </c>
    </row>
    <row r="8">
      <c r="A8" s="45" t="str">
        <f>MasterMaterials!A9</f>
        <v>1.5" Tie-In Assembly, ea</v>
      </c>
      <c r="B8" s="45" t="str">
        <f>MasterMaterials!B9</f>
        <v>LMN40150680</v>
      </c>
      <c r="C8" s="45" t="str">
        <f>MasterMaterials!C9</f>
        <v>H</v>
      </c>
      <c r="D8" s="45" t="str">
        <f>MasterMaterials!D9</f>
        <v/>
      </c>
      <c r="E8" s="45" t="str">
        <f>MasterMaterials!E9</f>
        <v>1.5" Tie-In Assembly, ea</v>
      </c>
      <c r="F8" s="45" t="str">
        <f>MasterMaterials!F9</f>
        <v/>
      </c>
      <c r="G8" s="45" t="str">
        <f>MasterMaterials!G9</f>
        <v>ea</v>
      </c>
      <c r="H8" s="45">
        <f>MasterMaterials!H9</f>
        <v>0</v>
      </c>
      <c r="I8" s="46">
        <f>MasterMaterials!I9</f>
        <v>252.5</v>
      </c>
      <c r="J8" s="47">
        <f>MasterMaterials!J9</f>
        <v>504.99</v>
      </c>
      <c r="K8" s="45" t="str">
        <f>MasterMaterials!K9</f>
        <v>Y</v>
      </c>
      <c r="L8" s="45" t="str">
        <f>MasterMaterials!L9</f>
        <v/>
      </c>
      <c r="M8" s="45" t="str">
        <f>MasterMaterials!M9</f>
        <v/>
      </c>
      <c r="N8" s="45" t="str">
        <f>MasterMaterials!N9</f>
        <v/>
      </c>
      <c r="O8" s="48">
        <f>MasterMaterials!O9</f>
        <v>45988</v>
      </c>
    </row>
    <row r="9">
      <c r="A9" s="45" t="str">
        <f>MasterMaterials!A10</f>
        <v>1" Drip Valve, ea</v>
      </c>
      <c r="B9" s="45" t="str">
        <f>MasterMaterials!B10</f>
        <v>LMN40150676</v>
      </c>
      <c r="C9" s="45" t="str">
        <f>MasterMaterials!C10</f>
        <v>H</v>
      </c>
      <c r="D9" s="45" t="str">
        <f>MasterMaterials!D10</f>
        <v/>
      </c>
      <c r="E9" s="45" t="str">
        <f>MasterMaterials!E10</f>
        <v>1" Drip Valve, ea</v>
      </c>
      <c r="F9" s="45" t="str">
        <f>MasterMaterials!F10</f>
        <v/>
      </c>
      <c r="G9" s="45" t="str">
        <f>MasterMaterials!G10</f>
        <v>ea</v>
      </c>
      <c r="H9" s="45">
        <f>MasterMaterials!H10</f>
        <v>0</v>
      </c>
      <c r="I9" s="46">
        <f>MasterMaterials!I10</f>
        <v>50.04</v>
      </c>
      <c r="J9" s="47">
        <f>MasterMaterials!J10</f>
        <v>97.75</v>
      </c>
      <c r="K9" s="45" t="str">
        <f>MasterMaterials!K10</f>
        <v>Y</v>
      </c>
      <c r="L9" s="45" t="str">
        <f>MasterMaterials!L10</f>
        <v/>
      </c>
      <c r="M9" s="45" t="str">
        <f>MasterMaterials!M10</f>
        <v/>
      </c>
      <c r="N9" s="45" t="str">
        <f>MasterMaterials!N10</f>
        <v/>
      </c>
      <c r="O9" s="48">
        <f>MasterMaterials!O10</f>
        <v>45988</v>
      </c>
    </row>
    <row r="10">
      <c r="A10" s="45" t="str">
        <f>MasterMaterials!A11</f>
        <v>1" Fitting, ea</v>
      </c>
      <c r="B10" s="45" t="str">
        <f>MasterMaterials!B11</f>
        <v>LMN40150670</v>
      </c>
      <c r="C10" s="45" t="str">
        <f>MasterMaterials!C11</f>
        <v>H</v>
      </c>
      <c r="D10" s="45" t="str">
        <f>MasterMaterials!D11</f>
        <v/>
      </c>
      <c r="E10" s="45" t="str">
        <f>MasterMaterials!E11</f>
        <v>1" Fitting, ea</v>
      </c>
      <c r="F10" s="45" t="str">
        <f>MasterMaterials!F11</f>
        <v/>
      </c>
      <c r="G10" s="45" t="str">
        <f>MasterMaterials!G11</f>
        <v>ea</v>
      </c>
      <c r="H10" s="45">
        <f>MasterMaterials!H11</f>
        <v>0</v>
      </c>
      <c r="I10" s="46">
        <f>MasterMaterials!I11</f>
        <v>1.62</v>
      </c>
      <c r="J10" s="47">
        <f>MasterMaterials!J11</f>
        <v>3.6</v>
      </c>
      <c r="K10" s="45" t="str">
        <f>MasterMaterials!K11</f>
        <v>Y</v>
      </c>
      <c r="L10" s="45" t="str">
        <f>MasterMaterials!L11</f>
        <v/>
      </c>
      <c r="M10" s="45" t="str">
        <f>MasterMaterials!M11</f>
        <v/>
      </c>
      <c r="N10" s="45" t="str">
        <f>MasterMaterials!N11</f>
        <v/>
      </c>
      <c r="O10" s="48">
        <f>MasterMaterials!O11</f>
        <v>45988</v>
      </c>
    </row>
    <row r="11">
      <c r="A11" s="45" t="str">
        <f>MasterMaterials!A12</f>
        <v>1" Poly, ft</v>
      </c>
      <c r="B11" s="45" t="str">
        <f>MasterMaterials!B12</f>
        <v>LMN40150667</v>
      </c>
      <c r="C11" s="45" t="str">
        <f>MasterMaterials!C12</f>
        <v>H</v>
      </c>
      <c r="D11" s="45" t="str">
        <f>MasterMaterials!D12</f>
        <v/>
      </c>
      <c r="E11" s="45" t="str">
        <f>MasterMaterials!E12</f>
        <v>1" Poly, ft</v>
      </c>
      <c r="F11" s="45" t="str">
        <f>MasterMaterials!F12</f>
        <v/>
      </c>
      <c r="G11" s="45" t="str">
        <f>MasterMaterials!G12</f>
        <v>ft</v>
      </c>
      <c r="H11" s="45">
        <f>MasterMaterials!H12</f>
        <v>0</v>
      </c>
      <c r="I11" s="46">
        <f>MasterMaterials!I12</f>
        <v>0.36</v>
      </c>
      <c r="J11" s="47">
        <f>MasterMaterials!J12</f>
        <v>0.74</v>
      </c>
      <c r="K11" s="45" t="str">
        <f>MasterMaterials!K12</f>
        <v>Y</v>
      </c>
      <c r="L11" s="45" t="str">
        <f>MasterMaterials!L12</f>
        <v/>
      </c>
      <c r="M11" s="45" t="str">
        <f>MasterMaterials!M12</f>
        <v/>
      </c>
      <c r="N11" s="45" t="str">
        <f>MasterMaterials!N12</f>
        <v/>
      </c>
      <c r="O11" s="48">
        <f>MasterMaterials!O12</f>
        <v>45988</v>
      </c>
    </row>
    <row r="12">
      <c r="A12" s="45" t="str">
        <f>MasterMaterials!A13</f>
        <v>1" Stretch Repair Coupling</v>
      </c>
      <c r="B12" s="45" t="str">
        <f>MasterMaterials!B13</f>
        <v>LMN42485635</v>
      </c>
      <c r="C12" s="45" t="str">
        <f>MasterMaterials!C13</f>
        <v>H</v>
      </c>
      <c r="D12" s="45" t="str">
        <f>MasterMaterials!D13</f>
        <v/>
      </c>
      <c r="E12" s="45" t="str">
        <f>MasterMaterials!E13</f>
        <v>1" Stretch Repair Coupling</v>
      </c>
      <c r="F12" s="45" t="str">
        <f>MasterMaterials!F13</f>
        <v/>
      </c>
      <c r="G12" s="45" t="str">
        <f>MasterMaterials!G13</f>
        <v>ea</v>
      </c>
      <c r="H12" s="45">
        <f>MasterMaterials!H13</f>
        <v>0</v>
      </c>
      <c r="I12" s="46">
        <f>MasterMaterials!I13</f>
        <v>13.69</v>
      </c>
      <c r="J12" s="47">
        <f>MasterMaterials!J13</f>
        <v>15.74</v>
      </c>
      <c r="K12" s="45" t="str">
        <f>MasterMaterials!K13</f>
        <v>Y</v>
      </c>
      <c r="L12" s="45" t="str">
        <f>MasterMaterials!L13</f>
        <v/>
      </c>
      <c r="M12" s="45" t="str">
        <f>MasterMaterials!M13</f>
        <v/>
      </c>
      <c r="N12" s="45" t="str">
        <f>MasterMaterials!N13</f>
        <v/>
      </c>
      <c r="O12" s="48">
        <f>MasterMaterials!O13</f>
        <v>45518</v>
      </c>
    </row>
    <row r="13">
      <c r="A13" s="45" t="str">
        <f>MasterMaterials!A14</f>
        <v>1" Tie-In Assembly, ea</v>
      </c>
      <c r="B13" s="45" t="str">
        <f>MasterMaterials!B14</f>
        <v>LMN40150679</v>
      </c>
      <c r="C13" s="45" t="str">
        <f>MasterMaterials!C14</f>
        <v>H</v>
      </c>
      <c r="D13" s="45" t="str">
        <f>MasterMaterials!D14</f>
        <v/>
      </c>
      <c r="E13" s="45" t="str">
        <f>MasterMaterials!E14</f>
        <v>1" Tie-In Assembly, ea</v>
      </c>
      <c r="F13" s="45" t="str">
        <f>MasterMaterials!F14</f>
        <v/>
      </c>
      <c r="G13" s="45" t="str">
        <f>MasterMaterials!G14</f>
        <v>ea</v>
      </c>
      <c r="H13" s="45">
        <f>MasterMaterials!H14</f>
        <v>0</v>
      </c>
      <c r="I13" s="46">
        <f>MasterMaterials!I14</f>
        <v>128.94</v>
      </c>
      <c r="J13" s="47">
        <f>MasterMaterials!J14</f>
        <v>204.53</v>
      </c>
      <c r="K13" s="45" t="str">
        <f>MasterMaterials!K14</f>
        <v>Y</v>
      </c>
      <c r="L13" s="45" t="str">
        <f>MasterMaterials!L14</f>
        <v/>
      </c>
      <c r="M13" s="45" t="str">
        <f>MasterMaterials!M14</f>
        <v/>
      </c>
      <c r="N13" s="45" t="str">
        <f>MasterMaterials!N14</f>
        <v/>
      </c>
      <c r="O13" s="48">
        <f>MasterMaterials!O14</f>
        <v>45988</v>
      </c>
    </row>
    <row r="14">
      <c r="A14" s="45" t="str">
        <f>MasterMaterials!A15</f>
        <v>1" Valve, ea</v>
      </c>
      <c r="B14" s="45" t="str">
        <f>MasterMaterials!B15</f>
        <v>LMN40150674</v>
      </c>
      <c r="C14" s="45" t="str">
        <f>MasterMaterials!C15</f>
        <v>H</v>
      </c>
      <c r="D14" s="45" t="str">
        <f>MasterMaterials!D15</f>
        <v/>
      </c>
      <c r="E14" s="45" t="str">
        <f>MasterMaterials!E15</f>
        <v>1" Valve, ea</v>
      </c>
      <c r="F14" s="45" t="str">
        <f>MasterMaterials!F15</f>
        <v/>
      </c>
      <c r="G14" s="45" t="str">
        <f>MasterMaterials!G15</f>
        <v>ea</v>
      </c>
      <c r="H14" s="45">
        <f>MasterMaterials!H15</f>
        <v>0</v>
      </c>
      <c r="I14" s="46">
        <f>MasterMaterials!I15</f>
        <v>17.78</v>
      </c>
      <c r="J14" s="47">
        <f>MasterMaterials!J15</f>
        <v>35.56</v>
      </c>
      <c r="K14" s="45" t="str">
        <f>MasterMaterials!K15</f>
        <v>Y</v>
      </c>
      <c r="L14" s="45" t="str">
        <f>MasterMaterials!L15</f>
        <v/>
      </c>
      <c r="M14" s="45" t="str">
        <f>MasterMaterials!M15</f>
        <v/>
      </c>
      <c r="N14" s="45" t="str">
        <f>MasterMaterials!N15</f>
        <v/>
      </c>
      <c r="O14" s="49">
        <f>MasterMaterials!O15</f>
        <v>45988</v>
      </c>
    </row>
    <row r="15">
      <c r="A15" s="45" t="str">
        <f>MasterMaterials!A16</f>
        <v>1/2" Fitting, ea</v>
      </c>
      <c r="B15" s="45" t="str">
        <f>MasterMaterials!B16</f>
        <v>LMN40150665</v>
      </c>
      <c r="C15" s="45" t="str">
        <f>MasterMaterials!C16</f>
        <v>H</v>
      </c>
      <c r="D15" s="45" t="str">
        <f>MasterMaterials!D16</f>
        <v/>
      </c>
      <c r="E15" s="45" t="str">
        <f>MasterMaterials!E16</f>
        <v>1/2" Fitting, ea</v>
      </c>
      <c r="F15" s="45" t="str">
        <f>MasterMaterials!F16</f>
        <v/>
      </c>
      <c r="G15" s="45" t="str">
        <f>MasterMaterials!G16</f>
        <v>ea</v>
      </c>
      <c r="H15" s="45">
        <f>MasterMaterials!H16</f>
        <v>0</v>
      </c>
      <c r="I15" s="46">
        <f>MasterMaterials!I16</f>
        <v>0.38</v>
      </c>
      <c r="J15" s="47">
        <f>MasterMaterials!J16</f>
        <v>1.69</v>
      </c>
      <c r="K15" s="45" t="str">
        <f>MasterMaterials!K16</f>
        <v>Y</v>
      </c>
      <c r="L15" s="45" t="str">
        <f>MasterMaterials!L16</f>
        <v/>
      </c>
      <c r="M15" s="45" t="str">
        <f>MasterMaterials!M16</f>
        <v/>
      </c>
      <c r="N15" s="45" t="str">
        <f>MasterMaterials!N16</f>
        <v/>
      </c>
      <c r="O15" s="48">
        <f>MasterMaterials!O16</f>
        <v>45988</v>
      </c>
    </row>
    <row r="16">
      <c r="A16" s="45" t="str">
        <f>MasterMaterials!A17</f>
        <v>1/2" Poly, ft</v>
      </c>
      <c r="B16" s="45" t="str">
        <f>MasterMaterials!B17</f>
        <v>LMN40150666</v>
      </c>
      <c r="C16" s="45" t="str">
        <f>MasterMaterials!C17</f>
        <v>H</v>
      </c>
      <c r="D16" s="45" t="str">
        <f>MasterMaterials!D17</f>
        <v/>
      </c>
      <c r="E16" s="45" t="str">
        <f>MasterMaterials!E17</f>
        <v>1/2" Poly, ft</v>
      </c>
      <c r="F16" s="45" t="str">
        <f>MasterMaterials!F17</f>
        <v/>
      </c>
      <c r="G16" s="45" t="str">
        <f>MasterMaterials!G17</f>
        <v>ft</v>
      </c>
      <c r="H16" s="45">
        <f>MasterMaterials!H17</f>
        <v>0</v>
      </c>
      <c r="I16" s="46">
        <f>MasterMaterials!I17</f>
        <v>0.13</v>
      </c>
      <c r="J16" s="47">
        <f>MasterMaterials!J17</f>
        <v>0.49</v>
      </c>
      <c r="K16" s="45" t="str">
        <f>MasterMaterials!K17</f>
        <v>Y</v>
      </c>
      <c r="L16" s="45" t="str">
        <f>MasterMaterials!L17</f>
        <v/>
      </c>
      <c r="M16" s="45" t="str">
        <f>MasterMaterials!M17</f>
        <v/>
      </c>
      <c r="N16" s="45" t="str">
        <f>MasterMaterials!N17</f>
        <v/>
      </c>
      <c r="O16" s="48">
        <f>MasterMaterials!O17</f>
        <v>45989</v>
      </c>
    </row>
    <row r="17">
      <c r="A17" s="45" t="str">
        <f>MasterMaterials!A18</f>
        <v>1800 with Nozzle and Street L</v>
      </c>
      <c r="B17" s="45" t="str">
        <f>MasterMaterials!B18</f>
        <v>LMN41760317</v>
      </c>
      <c r="C17" s="45" t="str">
        <f>MasterMaterials!C18</f>
        <v>H</v>
      </c>
      <c r="D17" s="45" t="str">
        <f>MasterMaterials!D18</f>
        <v/>
      </c>
      <c r="E17" s="45" t="str">
        <f>MasterMaterials!E18</f>
        <v>1800 with Nozzle and Street L</v>
      </c>
      <c r="F17" s="45" t="str">
        <f>MasterMaterials!F18</f>
        <v/>
      </c>
      <c r="G17" s="45" t="str">
        <f>MasterMaterials!G18</f>
        <v>Each</v>
      </c>
      <c r="H17" s="45">
        <f>MasterMaterials!H18</f>
        <v>0</v>
      </c>
      <c r="I17" s="46">
        <f>MasterMaterials!I18</f>
        <v>7.56</v>
      </c>
      <c r="J17" s="47">
        <f>MasterMaterials!J18</f>
        <v>12.64</v>
      </c>
      <c r="K17" s="45" t="str">
        <f>MasterMaterials!K18</f>
        <v/>
      </c>
      <c r="L17" s="45" t="str">
        <f>MasterMaterials!L18</f>
        <v/>
      </c>
      <c r="M17" s="45" t="str">
        <f>MasterMaterials!M18</f>
        <v/>
      </c>
      <c r="N17" s="45" t="str">
        <f>MasterMaterials!N18</f>
        <v/>
      </c>
      <c r="O17" s="48">
        <f>MasterMaterials!O18</f>
        <v>45404</v>
      </c>
    </row>
    <row r="18">
      <c r="A18" s="45" t="str">
        <f>MasterMaterials!A19</f>
        <v>2" Poly Fitting, ea</v>
      </c>
      <c r="B18" s="45" t="str">
        <f>MasterMaterials!B19</f>
        <v>LMN40150707</v>
      </c>
      <c r="C18" s="45" t="str">
        <f>MasterMaterials!C19</f>
        <v>H</v>
      </c>
      <c r="D18" s="45" t="str">
        <f>MasterMaterials!D19</f>
        <v/>
      </c>
      <c r="E18" s="45" t="str">
        <f>MasterMaterials!E19</f>
        <v>2" Poly Fitting, ea</v>
      </c>
      <c r="F18" s="45" t="str">
        <f>MasterMaterials!F19</f>
        <v/>
      </c>
      <c r="G18" s="45" t="str">
        <f>MasterMaterials!G19</f>
        <v>ea</v>
      </c>
      <c r="H18" s="45">
        <f>MasterMaterials!H19</f>
        <v>0</v>
      </c>
      <c r="I18" s="46">
        <f>MasterMaterials!I19</f>
        <v>7.53</v>
      </c>
      <c r="J18" s="47">
        <f>MasterMaterials!J19</f>
        <v>16.71</v>
      </c>
      <c r="K18" s="45" t="str">
        <f>MasterMaterials!K19</f>
        <v>Y</v>
      </c>
      <c r="L18" s="45" t="str">
        <f>MasterMaterials!L19</f>
        <v/>
      </c>
      <c r="M18" s="45" t="str">
        <f>MasterMaterials!M19</f>
        <v/>
      </c>
      <c r="N18" s="45" t="str">
        <f>MasterMaterials!N19</f>
        <v/>
      </c>
      <c r="O18" s="48">
        <f>MasterMaterials!O19</f>
        <v>45988</v>
      </c>
    </row>
    <row r="19">
      <c r="A19" s="45" t="str">
        <f>MasterMaterials!A20</f>
        <v>2" Poly, ft</v>
      </c>
      <c r="B19" s="45" t="str">
        <f>MasterMaterials!B20</f>
        <v>LMN40150706</v>
      </c>
      <c r="C19" s="45" t="str">
        <f>MasterMaterials!C20</f>
        <v>H</v>
      </c>
      <c r="D19" s="45" t="str">
        <f>MasterMaterials!D20</f>
        <v/>
      </c>
      <c r="E19" s="45" t="str">
        <f>MasterMaterials!E20</f>
        <v>2" Poly, ft</v>
      </c>
      <c r="F19" s="45" t="str">
        <f>MasterMaterials!F20</f>
        <v/>
      </c>
      <c r="G19" s="45" t="str">
        <f>MasterMaterials!G20</f>
        <v>ft</v>
      </c>
      <c r="H19" s="45">
        <f>MasterMaterials!H20</f>
        <v>0</v>
      </c>
      <c r="I19" s="46">
        <f>MasterMaterials!I20</f>
        <v>1.43</v>
      </c>
      <c r="J19" s="47">
        <f>MasterMaterials!J20</f>
        <v>3.01</v>
      </c>
      <c r="K19" s="45" t="str">
        <f>MasterMaterials!K20</f>
        <v>Y</v>
      </c>
      <c r="L19" s="45" t="str">
        <f>MasterMaterials!L20</f>
        <v/>
      </c>
      <c r="M19" s="45" t="str">
        <f>MasterMaterials!M20</f>
        <v/>
      </c>
      <c r="N19" s="45" t="str">
        <f>MasterMaterials!N20</f>
        <v/>
      </c>
      <c r="O19" s="49">
        <f>MasterMaterials!O20</f>
        <v>45988</v>
      </c>
    </row>
    <row r="20">
      <c r="A20" s="45" t="str">
        <f>MasterMaterials!A21</f>
        <v>2" PVC Fitting, ea</v>
      </c>
      <c r="B20" s="45" t="str">
        <f>MasterMaterials!B21</f>
        <v>NEW033</v>
      </c>
      <c r="C20" s="45" t="str">
        <f>MasterMaterials!C21</f>
        <v>H</v>
      </c>
      <c r="D20" s="45" t="str">
        <f>MasterMaterials!D21</f>
        <v/>
      </c>
      <c r="E20" s="45" t="str">
        <f>MasterMaterials!E21</f>
        <v>2" PVC Fitting, ea</v>
      </c>
      <c r="F20" s="45" t="str">
        <f>MasterMaterials!F21</f>
        <v/>
      </c>
      <c r="G20" s="45" t="str">
        <f>MasterMaterials!G21</f>
        <v>ea</v>
      </c>
      <c r="H20" s="45">
        <f>MasterMaterials!H21</f>
        <v>0</v>
      </c>
      <c r="I20" s="46">
        <f>MasterMaterials!I21</f>
        <v>4.75</v>
      </c>
      <c r="J20" s="47">
        <f>MasterMaterials!J21</f>
        <v>12.09</v>
      </c>
      <c r="K20" s="45" t="str">
        <f>MasterMaterials!K21</f>
        <v>Y</v>
      </c>
      <c r="L20" s="45" t="str">
        <f>MasterMaterials!L21</f>
        <v/>
      </c>
      <c r="M20" s="45" t="str">
        <f>MasterMaterials!M21</f>
        <v/>
      </c>
      <c r="N20" s="45" t="str">
        <f>MasterMaterials!N21</f>
        <v/>
      </c>
      <c r="O20" s="49">
        <f>MasterMaterials!O21</f>
        <v>45988</v>
      </c>
    </row>
    <row r="21">
      <c r="A21" s="45" t="str">
        <f>MasterMaterials!A22</f>
        <v>2" Stretch Repair Coupling, ea</v>
      </c>
      <c r="B21" s="45" t="str">
        <f>MasterMaterials!B22</f>
        <v>LMN42487087</v>
      </c>
      <c r="C21" s="45" t="str">
        <f>MasterMaterials!C22</f>
        <v>H</v>
      </c>
      <c r="D21" s="45" t="str">
        <f>MasterMaterials!D22</f>
        <v/>
      </c>
      <c r="E21" s="45" t="str">
        <f>MasterMaterials!E22</f>
        <v>2" Stretch Repair Coupling, ea</v>
      </c>
      <c r="F21" s="45" t="str">
        <f>MasterMaterials!F22</f>
        <v/>
      </c>
      <c r="G21" s="45" t="str">
        <f>MasterMaterials!G22</f>
        <v>ea</v>
      </c>
      <c r="H21" s="45">
        <f>MasterMaterials!H22</f>
        <v>0</v>
      </c>
      <c r="I21" s="46">
        <f>MasterMaterials!I22</f>
        <v>32.69</v>
      </c>
      <c r="J21" s="47">
        <f>MasterMaterials!J22</f>
        <v>37.59</v>
      </c>
      <c r="K21" s="45" t="str">
        <f>MasterMaterials!K22</f>
        <v>Y</v>
      </c>
      <c r="L21" s="45" t="str">
        <f>MasterMaterials!L22</f>
        <v/>
      </c>
      <c r="M21" s="45" t="str">
        <f>MasterMaterials!M22</f>
        <v/>
      </c>
      <c r="N21" s="45" t="str">
        <f>MasterMaterials!N22</f>
        <v/>
      </c>
      <c r="O21" s="48">
        <f>MasterMaterials!O22</f>
        <v>45988</v>
      </c>
    </row>
    <row r="22">
      <c r="A22" s="45" t="str">
        <f>MasterMaterials!A23</f>
        <v>3/4" Brass Quick Coupler, ea</v>
      </c>
      <c r="B22" s="45" t="str">
        <f>MasterMaterials!B23</f>
        <v>NEW034</v>
      </c>
      <c r="C22" s="45" t="str">
        <f>MasterMaterials!C23</f>
        <v>H</v>
      </c>
      <c r="D22" s="45" t="str">
        <f>MasterMaterials!D23</f>
        <v/>
      </c>
      <c r="E22" s="45" t="str">
        <f>MasterMaterials!E23</f>
        <v>3/4" Brass Quick Coupler, ea</v>
      </c>
      <c r="F22" s="45" t="str">
        <f>MasterMaterials!F23</f>
        <v/>
      </c>
      <c r="G22" s="45" t="str">
        <f>MasterMaterials!G23</f>
        <v>ea</v>
      </c>
      <c r="H22" s="45">
        <f>MasterMaterials!H23</f>
        <v>0</v>
      </c>
      <c r="I22" s="46">
        <f>MasterMaterials!I23</f>
        <v>49.75</v>
      </c>
      <c r="J22" s="47">
        <f>MasterMaterials!J23</f>
        <v>97.95</v>
      </c>
      <c r="K22" s="45" t="str">
        <f>MasterMaterials!K23</f>
        <v>Y</v>
      </c>
      <c r="L22" s="45" t="str">
        <f>MasterMaterials!L23</f>
        <v/>
      </c>
      <c r="M22" s="45" t="str">
        <f>MasterMaterials!M23</f>
        <v/>
      </c>
      <c r="N22" s="45" t="str">
        <f>MasterMaterials!N23</f>
        <v/>
      </c>
      <c r="O22" s="48">
        <f>MasterMaterials!O23</f>
        <v>45988</v>
      </c>
    </row>
    <row r="23">
      <c r="A23" s="45" t="str">
        <f>MasterMaterials!A24</f>
        <v>4" Corrugated Drain Pipe, ft</v>
      </c>
      <c r="B23" s="45" t="str">
        <f>MasterMaterials!B24</f>
        <v>LMN40150730</v>
      </c>
      <c r="C23" s="45" t="str">
        <f>MasterMaterials!C24</f>
        <v>H</v>
      </c>
      <c r="D23" s="45" t="str">
        <f>MasterMaterials!D24</f>
        <v/>
      </c>
      <c r="E23" s="45" t="str">
        <f>MasterMaterials!E24</f>
        <v>4" Corrugated Drain Pipe, ft</v>
      </c>
      <c r="F23" s="45" t="str">
        <f>MasterMaterials!F24</f>
        <v/>
      </c>
      <c r="G23" s="45" t="str">
        <f>MasterMaterials!G24</f>
        <v>ft</v>
      </c>
      <c r="H23" s="45">
        <f>MasterMaterials!H24</f>
        <v>0</v>
      </c>
      <c r="I23" s="46">
        <f>MasterMaterials!I24</f>
        <v>2.25</v>
      </c>
      <c r="J23" s="47">
        <f>MasterMaterials!J24</f>
        <v>4.5</v>
      </c>
      <c r="K23" s="45" t="str">
        <f>MasterMaterials!K24</f>
        <v>Y</v>
      </c>
      <c r="L23" s="45" t="str">
        <f>MasterMaterials!L24</f>
        <v/>
      </c>
      <c r="M23" s="45" t="str">
        <f>MasterMaterials!M24</f>
        <v/>
      </c>
      <c r="N23" s="45" t="str">
        <f>MasterMaterials!N24</f>
        <v/>
      </c>
      <c r="O23" s="48">
        <f>MasterMaterials!O24</f>
        <v>45988</v>
      </c>
    </row>
    <row r="24">
      <c r="A24" s="45" t="str">
        <f>MasterMaterials!A25</f>
        <v>4" Corrugated Fitting, ea</v>
      </c>
      <c r="B24" s="45" t="str">
        <f>MasterMaterials!B25</f>
        <v>LMN40150731</v>
      </c>
      <c r="C24" s="45" t="str">
        <f>MasterMaterials!C25</f>
        <v>H</v>
      </c>
      <c r="D24" s="45" t="str">
        <f>MasterMaterials!D25</f>
        <v/>
      </c>
      <c r="E24" s="45" t="str">
        <f>MasterMaterials!E25</f>
        <v>4" Corrugated Fitting, ea</v>
      </c>
      <c r="F24" s="45" t="str">
        <f>MasterMaterials!F25</f>
        <v/>
      </c>
      <c r="G24" s="45" t="str">
        <f>MasterMaterials!G25</f>
        <v>ea</v>
      </c>
      <c r="H24" s="45">
        <f>MasterMaterials!H25</f>
        <v>0</v>
      </c>
      <c r="I24" s="46">
        <f>MasterMaterials!I25</f>
        <v>8.5</v>
      </c>
      <c r="J24" s="47">
        <f>MasterMaterials!J25</f>
        <v>14.21</v>
      </c>
      <c r="K24" s="45" t="str">
        <f>MasterMaterials!K25</f>
        <v/>
      </c>
      <c r="L24" s="45" t="str">
        <f>MasterMaterials!L25</f>
        <v/>
      </c>
      <c r="M24" s="45" t="str">
        <f>MasterMaterials!M25</f>
        <v/>
      </c>
      <c r="N24" s="45" t="str">
        <f>MasterMaterials!N25</f>
        <v/>
      </c>
      <c r="O24" s="49">
        <f>MasterMaterials!O25</f>
        <v>45988</v>
      </c>
    </row>
    <row r="25">
      <c r="A25" s="45" t="str">
        <f>MasterMaterials!A26</f>
        <v>4" PVC Sewer Fitting, ea</v>
      </c>
      <c r="B25" s="45" t="str">
        <f>MasterMaterials!B26</f>
        <v>LMN40150733</v>
      </c>
      <c r="C25" s="45" t="str">
        <f>MasterMaterials!C26</f>
        <v>H</v>
      </c>
      <c r="D25" s="45" t="str">
        <f>MasterMaterials!D26</f>
        <v/>
      </c>
      <c r="E25" s="45" t="str">
        <f>MasterMaterials!E26</f>
        <v>4" PVC Sewer Fitting, ea</v>
      </c>
      <c r="F25" s="45" t="str">
        <f>MasterMaterials!F26</f>
        <v/>
      </c>
      <c r="G25" s="45" t="str">
        <f>MasterMaterials!G26</f>
        <v>ea</v>
      </c>
      <c r="H25" s="45">
        <f>MasterMaterials!H26</f>
        <v>0</v>
      </c>
      <c r="I25" s="46">
        <f>MasterMaterials!I26</f>
        <v>6.33</v>
      </c>
      <c r="J25" s="47">
        <f>MasterMaterials!J26</f>
        <v>10.58</v>
      </c>
      <c r="K25" s="45" t="str">
        <f>MasterMaterials!K26</f>
        <v/>
      </c>
      <c r="L25" s="45" t="str">
        <f>MasterMaterials!L26</f>
        <v/>
      </c>
      <c r="M25" s="45" t="str">
        <f>MasterMaterials!M26</f>
        <v/>
      </c>
      <c r="N25" s="45" t="str">
        <f>MasterMaterials!N26</f>
        <v/>
      </c>
      <c r="O25" s="48">
        <f>MasterMaterials!O26</f>
        <v>45988</v>
      </c>
    </row>
    <row r="26">
      <c r="A26" s="45" t="str">
        <f>MasterMaterials!A27</f>
        <v>4" PVC Sewer Pipe, ft</v>
      </c>
      <c r="B26" s="45" t="str">
        <f>MasterMaterials!B27</f>
        <v>LMN40150732</v>
      </c>
      <c r="C26" s="45" t="str">
        <f>MasterMaterials!C27</f>
        <v>H</v>
      </c>
      <c r="D26" s="45" t="str">
        <f>MasterMaterials!D27</f>
        <v/>
      </c>
      <c r="E26" s="45" t="str">
        <f>MasterMaterials!E27</f>
        <v>4" PVC Sewer Pipe, ft</v>
      </c>
      <c r="F26" s="45" t="str">
        <f>MasterMaterials!F27</f>
        <v/>
      </c>
      <c r="G26" s="45" t="str">
        <f>MasterMaterials!G27</f>
        <v>ft</v>
      </c>
      <c r="H26" s="45">
        <f>MasterMaterials!H27</f>
        <v>0</v>
      </c>
      <c r="I26" s="46">
        <f>MasterMaterials!I27</f>
        <v>3.7</v>
      </c>
      <c r="J26" s="47">
        <f>MasterMaterials!J27</f>
        <v>6.18</v>
      </c>
      <c r="K26" s="45" t="str">
        <f>MasterMaterials!K27</f>
        <v/>
      </c>
      <c r="L26" s="45" t="str">
        <f>MasterMaterials!L27</f>
        <v/>
      </c>
      <c r="M26" s="45" t="str">
        <f>MasterMaterials!M27</f>
        <v/>
      </c>
      <c r="N26" s="45" t="str">
        <f>MasterMaterials!N27</f>
        <v/>
      </c>
      <c r="O26" s="48">
        <f>MasterMaterials!O27</f>
        <v>45988</v>
      </c>
    </row>
    <row r="27">
      <c r="A27" s="45" t="str">
        <f>MasterMaterials!A28</f>
        <v>5004 with Street L, ea</v>
      </c>
      <c r="B27" s="45" t="str">
        <f>MasterMaterials!B28</f>
        <v>LMN41760319</v>
      </c>
      <c r="C27" s="45" t="str">
        <f>MasterMaterials!C28</f>
        <v>H</v>
      </c>
      <c r="D27" s="45" t="str">
        <f>MasterMaterials!D28</f>
        <v/>
      </c>
      <c r="E27" s="45" t="str">
        <f>MasterMaterials!E28</f>
        <v>5004 with Street L, ea</v>
      </c>
      <c r="F27" s="45" t="str">
        <f>MasterMaterials!F28</f>
        <v/>
      </c>
      <c r="G27" s="45" t="str">
        <f>MasterMaterials!G28</f>
        <v>Each</v>
      </c>
      <c r="H27" s="45">
        <f>MasterMaterials!H28</f>
        <v>0</v>
      </c>
      <c r="I27" s="46">
        <f>MasterMaterials!I28</f>
        <v>25</v>
      </c>
      <c r="J27" s="47">
        <f>MasterMaterials!J28</f>
        <v>41.79</v>
      </c>
      <c r="K27" s="45" t="str">
        <f>MasterMaterials!K28</f>
        <v/>
      </c>
      <c r="L27" s="45" t="str">
        <f>MasterMaterials!L28</f>
        <v/>
      </c>
      <c r="M27" s="45" t="str">
        <f>MasterMaterials!M28</f>
        <v/>
      </c>
      <c r="N27" s="45" t="str">
        <f>MasterMaterials!N28</f>
        <v/>
      </c>
      <c r="O27" s="48">
        <f>MasterMaterials!O28</f>
        <v>45404</v>
      </c>
    </row>
    <row r="28">
      <c r="A28" s="45" t="str">
        <f>MasterMaterials!A29</f>
        <v>800M4 Backflow, ea</v>
      </c>
      <c r="B28" s="45" t="str">
        <f>MasterMaterials!B29</f>
        <v>NEW035</v>
      </c>
      <c r="C28" s="45" t="str">
        <f>MasterMaterials!C29</f>
        <v>H</v>
      </c>
      <c r="D28" s="45" t="str">
        <f>MasterMaterials!D29</f>
        <v/>
      </c>
      <c r="E28" s="45" t="str">
        <f>MasterMaterials!E29</f>
        <v>800M4 Backflow, ea</v>
      </c>
      <c r="F28" s="45" t="str">
        <f>MasterMaterials!F29</f>
        <v/>
      </c>
      <c r="G28" s="45" t="str">
        <f>MasterMaterials!G29</f>
        <v>ea</v>
      </c>
      <c r="H28" s="45">
        <f>MasterMaterials!H29</f>
        <v>0</v>
      </c>
      <c r="I28" s="46">
        <f>MasterMaterials!I29</f>
        <v>96</v>
      </c>
      <c r="J28" s="47">
        <f>MasterMaterials!J29</f>
        <v>543</v>
      </c>
      <c r="K28" s="45" t="str">
        <f>MasterMaterials!K29</f>
        <v>Y</v>
      </c>
      <c r="L28" s="45" t="str">
        <f>MasterMaterials!L29</f>
        <v/>
      </c>
      <c r="M28" s="45" t="str">
        <f>MasterMaterials!M29</f>
        <v/>
      </c>
      <c r="N28" s="45" t="str">
        <f>MasterMaterials!N29</f>
        <v/>
      </c>
      <c r="O28" s="49">
        <f>MasterMaterials!O29</f>
        <v>45988</v>
      </c>
    </row>
    <row r="29">
      <c r="A29" s="45" t="str">
        <f>MasterMaterials!A30</f>
        <v>Action Fitting, ea</v>
      </c>
      <c r="B29" s="45" t="str">
        <f>MasterMaterials!B30</f>
        <v>NEW043</v>
      </c>
      <c r="C29" s="45" t="str">
        <f>MasterMaterials!C30</f>
        <v>H</v>
      </c>
      <c r="D29" s="45" t="str">
        <f>MasterMaterials!D30</f>
        <v/>
      </c>
      <c r="E29" s="45" t="str">
        <f>MasterMaterials!E30</f>
        <v>Action Fitting, ea</v>
      </c>
      <c r="F29" s="45" t="str">
        <f>MasterMaterials!F30</f>
        <v/>
      </c>
      <c r="G29" s="45" t="str">
        <f>MasterMaterials!G30</f>
        <v>ea</v>
      </c>
      <c r="H29" s="45">
        <f>MasterMaterials!H30</f>
        <v>0</v>
      </c>
      <c r="I29" s="46">
        <f>MasterMaterials!I30</f>
        <v>3.43</v>
      </c>
      <c r="J29" s="47">
        <f>MasterMaterials!J30</f>
        <v>6.59</v>
      </c>
      <c r="K29" s="45" t="str">
        <f>MasterMaterials!K30</f>
        <v>Y</v>
      </c>
      <c r="L29" s="45" t="str">
        <f>MasterMaterials!L30</f>
        <v/>
      </c>
      <c r="M29" s="45" t="str">
        <f>MasterMaterials!M30</f>
        <v/>
      </c>
      <c r="N29" s="45" t="str">
        <f>MasterMaterials!N30</f>
        <v/>
      </c>
      <c r="O29" s="49">
        <f>MasterMaterials!O30</f>
        <v>45989</v>
      </c>
    </row>
    <row r="30">
      <c r="A30" s="45" t="str">
        <f>MasterMaterials!A31</f>
        <v>Action Manifold, ea</v>
      </c>
      <c r="B30" s="45" t="str">
        <f>MasterMaterials!B31</f>
        <v>LMN40150675</v>
      </c>
      <c r="C30" s="45" t="str">
        <f>MasterMaterials!C31</f>
        <v>H</v>
      </c>
      <c r="D30" s="45" t="str">
        <f>MasterMaterials!D31</f>
        <v/>
      </c>
      <c r="E30" s="45" t="str">
        <f>MasterMaterials!E31</f>
        <v>Action Manifold, ea</v>
      </c>
      <c r="F30" s="45" t="str">
        <f>MasterMaterials!F31</f>
        <v/>
      </c>
      <c r="G30" s="45" t="str">
        <f>MasterMaterials!G31</f>
        <v>ea</v>
      </c>
      <c r="H30" s="45">
        <f>MasterMaterials!H31</f>
        <v>0</v>
      </c>
      <c r="I30" s="46">
        <f>MasterMaterials!I31</f>
        <v>34.98</v>
      </c>
      <c r="J30" s="47">
        <f>MasterMaterials!J31</f>
        <v>58.47</v>
      </c>
      <c r="K30" s="45" t="str">
        <f>MasterMaterials!K31</f>
        <v>Y</v>
      </c>
      <c r="L30" s="45" t="str">
        <f>MasterMaterials!L31</f>
        <v/>
      </c>
      <c r="M30" s="45" t="str">
        <f>MasterMaterials!M31</f>
        <v/>
      </c>
      <c r="N30" s="45" t="str">
        <f>MasterMaterials!N31</f>
        <v/>
      </c>
      <c r="O30" s="49">
        <f>MasterMaterials!O31</f>
        <v>45989</v>
      </c>
    </row>
    <row r="31">
      <c r="A31" s="45" t="str">
        <f>MasterMaterials!A32</f>
        <v>Alpine Fir, 10', ea</v>
      </c>
      <c r="B31" s="45" t="str">
        <f>MasterMaterials!B32</f>
        <v>LMN43636215</v>
      </c>
      <c r="C31" s="45" t="str">
        <f>MasterMaterials!C32</f>
        <v>H</v>
      </c>
      <c r="D31" s="45" t="str">
        <f>MasterMaterials!D32</f>
        <v/>
      </c>
      <c r="E31" s="45" t="str">
        <f>MasterMaterials!E32</f>
        <v>Alpine Fir, 10', ea</v>
      </c>
      <c r="F31" s="45" t="str">
        <f>MasterMaterials!F32</f>
        <v/>
      </c>
      <c r="G31" s="45" t="str">
        <f>MasterMaterials!G32</f>
        <v>ea</v>
      </c>
      <c r="H31" s="45">
        <f>MasterMaterials!H32</f>
        <v>0</v>
      </c>
      <c r="I31" s="46">
        <f>MasterMaterials!I32</f>
        <v>751.5</v>
      </c>
      <c r="J31" s="47">
        <f>MasterMaterials!J32</f>
        <v>1256.14</v>
      </c>
      <c r="K31" s="45" t="str">
        <f>MasterMaterials!K32</f>
        <v/>
      </c>
      <c r="L31" s="45" t="str">
        <f>MasterMaterials!L32</f>
        <v/>
      </c>
      <c r="M31" s="45" t="str">
        <f>MasterMaterials!M32</f>
        <v/>
      </c>
      <c r="N31" s="45" t="str">
        <f>MasterMaterials!N32</f>
        <v/>
      </c>
      <c r="O31" s="49">
        <f>MasterMaterials!O32</f>
        <v>45988</v>
      </c>
    </row>
    <row r="32">
      <c r="A32" s="45" t="str">
        <f>MasterMaterials!A33</f>
        <v>Alpine Fir, 12', ea</v>
      </c>
      <c r="B32" s="45" t="str">
        <f>MasterMaterials!B33</f>
        <v>LMN43636217</v>
      </c>
      <c r="C32" s="45" t="str">
        <f>MasterMaterials!C33</f>
        <v>H</v>
      </c>
      <c r="D32" s="45" t="str">
        <f>MasterMaterials!D33</f>
        <v/>
      </c>
      <c r="E32" s="45" t="str">
        <f>MasterMaterials!E33</f>
        <v>Alpine Fir, 12', ea</v>
      </c>
      <c r="F32" s="45" t="str">
        <f>MasterMaterials!F33</f>
        <v/>
      </c>
      <c r="G32" s="45" t="str">
        <f>MasterMaterials!G33</f>
        <v>ea</v>
      </c>
      <c r="H32" s="45">
        <f>MasterMaterials!H33</f>
        <v>0</v>
      </c>
      <c r="I32" s="46">
        <f>MasterMaterials!I33</f>
        <v>851.5</v>
      </c>
      <c r="J32" s="47">
        <f>MasterMaterials!J33</f>
        <v>1423.29</v>
      </c>
      <c r="K32" s="45" t="str">
        <f>MasterMaterials!K33</f>
        <v/>
      </c>
      <c r="L32" s="45" t="str">
        <f>MasterMaterials!L33</f>
        <v/>
      </c>
      <c r="M32" s="45" t="str">
        <f>MasterMaterials!M33</f>
        <v/>
      </c>
      <c r="N32" s="45" t="str">
        <f>MasterMaterials!N33</f>
        <v/>
      </c>
      <c r="O32" s="49">
        <f>MasterMaterials!O33</f>
        <v>45989</v>
      </c>
    </row>
    <row r="33">
      <c r="A33" s="45" t="str">
        <f>MasterMaterials!A34</f>
        <v>Annual Flower Pot, 1 Gal, ea</v>
      </c>
      <c r="B33" s="45" t="str">
        <f>MasterMaterials!B34</f>
        <v>NEW002</v>
      </c>
      <c r="C33" s="45" t="str">
        <f>MasterMaterials!C34</f>
        <v>H</v>
      </c>
      <c r="D33" s="45" t="str">
        <f>MasterMaterials!D34</f>
        <v/>
      </c>
      <c r="E33" s="45" t="str">
        <f>MasterMaterials!E34</f>
        <v>Annual Flower Pot, 1 Gal, ea</v>
      </c>
      <c r="F33" s="45" t="str">
        <f>MasterMaterials!F34</f>
        <v/>
      </c>
      <c r="G33" s="45" t="str">
        <f>MasterMaterials!G34</f>
        <v>ea</v>
      </c>
      <c r="H33" s="45">
        <f>MasterMaterials!H34</f>
        <v>0</v>
      </c>
      <c r="I33" s="46">
        <f>MasterMaterials!I34</f>
        <v>22</v>
      </c>
      <c r="J33" s="47">
        <f>MasterMaterials!J34</f>
        <v>22</v>
      </c>
      <c r="K33" s="45" t="str">
        <f>MasterMaterials!K34</f>
        <v>Y</v>
      </c>
      <c r="L33" s="45" t="str">
        <f>MasterMaterials!L34</f>
        <v/>
      </c>
      <c r="M33" s="45" t="str">
        <f>MasterMaterials!M34</f>
        <v/>
      </c>
      <c r="N33" s="45" t="str">
        <f>MasterMaterials!N34</f>
        <v/>
      </c>
      <c r="O33" s="48">
        <f>MasterMaterials!O34</f>
        <v>45988</v>
      </c>
    </row>
    <row r="34">
      <c r="A34" s="45" t="str">
        <f>MasterMaterials!A35</f>
        <v>Annual Flower Pot, 1 Qt, ea</v>
      </c>
      <c r="B34" s="45" t="str">
        <f>MasterMaterials!B35</f>
        <v>NEW003</v>
      </c>
      <c r="C34" s="45" t="str">
        <f>MasterMaterials!C35</f>
        <v>H</v>
      </c>
      <c r="D34" s="45" t="str">
        <f>MasterMaterials!D35</f>
        <v/>
      </c>
      <c r="E34" s="45" t="str">
        <f>MasterMaterials!E35</f>
        <v>Annual Flower Pot, 1 Qt, ea</v>
      </c>
      <c r="F34" s="45" t="str">
        <f>MasterMaterials!F35</f>
        <v/>
      </c>
      <c r="G34" s="45" t="str">
        <f>MasterMaterials!G35</f>
        <v>ea</v>
      </c>
      <c r="H34" s="45">
        <f>MasterMaterials!H35</f>
        <v>0</v>
      </c>
      <c r="I34" s="46">
        <f>MasterMaterials!I35</f>
        <v>15</v>
      </c>
      <c r="J34" s="47">
        <f>MasterMaterials!J35</f>
        <v>15</v>
      </c>
      <c r="K34" s="45" t="str">
        <f>MasterMaterials!K35</f>
        <v>Y</v>
      </c>
      <c r="L34" s="45" t="str">
        <f>MasterMaterials!L35</f>
        <v/>
      </c>
      <c r="M34" s="45" t="str">
        <f>MasterMaterials!M35</f>
        <v/>
      </c>
      <c r="N34" s="45" t="str">
        <f>MasterMaterials!N35</f>
        <v/>
      </c>
      <c r="O34" s="48">
        <f>MasterMaterials!O35</f>
        <v>45988</v>
      </c>
    </row>
    <row r="35">
      <c r="A35" s="45" t="str">
        <f>MasterMaterials!A36</f>
        <v>Annual Flower Pot, 4", ea</v>
      </c>
      <c r="B35" s="45" t="str">
        <f>MasterMaterials!B36</f>
        <v>NEW004</v>
      </c>
      <c r="C35" s="45" t="str">
        <f>MasterMaterials!C36</f>
        <v>H</v>
      </c>
      <c r="D35" s="45" t="str">
        <f>MasterMaterials!D36</f>
        <v/>
      </c>
      <c r="E35" s="45" t="str">
        <f>MasterMaterials!E36</f>
        <v>Annual Flower Pot, 4", ea</v>
      </c>
      <c r="F35" s="45" t="str">
        <f>MasterMaterials!F36</f>
        <v/>
      </c>
      <c r="G35" s="45" t="str">
        <f>MasterMaterials!G36</f>
        <v>ea</v>
      </c>
      <c r="H35" s="45">
        <f>MasterMaterials!H36</f>
        <v>0</v>
      </c>
      <c r="I35" s="46">
        <f>MasterMaterials!I36</f>
        <v>6</v>
      </c>
      <c r="J35" s="47">
        <f>MasterMaterials!J36</f>
        <v>6</v>
      </c>
      <c r="K35" s="45" t="str">
        <f>MasterMaterials!K36</f>
        <v>Y</v>
      </c>
      <c r="L35" s="45" t="str">
        <f>MasterMaterials!L36</f>
        <v/>
      </c>
      <c r="M35" s="45" t="str">
        <f>MasterMaterials!M36</f>
        <v/>
      </c>
      <c r="N35" s="45" t="str">
        <f>MasterMaterials!N36</f>
        <v/>
      </c>
      <c r="O35" s="48">
        <f>MasterMaterials!O36</f>
        <v>45988</v>
      </c>
    </row>
    <row r="36">
      <c r="A36" s="45" t="str">
        <f>MasterMaterials!A37</f>
        <v>Annual Flowers, miscellaneous, cost</v>
      </c>
      <c r="B36" s="45" t="str">
        <f>MasterMaterials!B37</f>
        <v>NEW005</v>
      </c>
      <c r="C36" s="45" t="str">
        <f>MasterMaterials!C37</f>
        <v>H</v>
      </c>
      <c r="D36" s="45" t="str">
        <f>MasterMaterials!D37</f>
        <v/>
      </c>
      <c r="E36" s="45" t="str">
        <f>MasterMaterials!E37</f>
        <v>Annual Flowers, miscellaneous, cost</v>
      </c>
      <c r="F36" s="45" t="str">
        <f>MasterMaterials!F37</f>
        <v/>
      </c>
      <c r="G36" s="45" t="str">
        <f>MasterMaterials!G37</f>
        <v>$</v>
      </c>
      <c r="H36" s="45">
        <f>MasterMaterials!H37</f>
        <v>0</v>
      </c>
      <c r="I36" s="46">
        <f>MasterMaterials!I37</f>
        <v>0</v>
      </c>
      <c r="J36" s="47">
        <f>MasterMaterials!J37</f>
        <v>1</v>
      </c>
      <c r="K36" s="45" t="str">
        <f>MasterMaterials!K37</f>
        <v/>
      </c>
      <c r="L36" s="45" t="str">
        <f>MasterMaterials!L37</f>
        <v/>
      </c>
      <c r="M36" s="45" t="str">
        <f>MasterMaterials!M37</f>
        <v/>
      </c>
      <c r="N36" s="45" t="str">
        <f>MasterMaterials!N37</f>
        <v/>
      </c>
      <c r="O36" s="48">
        <f>MasterMaterials!O37</f>
        <v>45988</v>
      </c>
    </row>
    <row r="37">
      <c r="A37" s="45" t="str">
        <f>MasterMaterials!A38</f>
        <v>Arbor Tie, ft</v>
      </c>
      <c r="B37" s="45" t="str">
        <f>MasterMaterials!B38</f>
        <v>LMN40150744</v>
      </c>
      <c r="C37" s="45" t="str">
        <f>MasterMaterials!C38</f>
        <v>H</v>
      </c>
      <c r="D37" s="45" t="str">
        <f>MasterMaterials!D38</f>
        <v/>
      </c>
      <c r="E37" s="45" t="str">
        <f>MasterMaterials!E38</f>
        <v>Arbor Tie, ft</v>
      </c>
      <c r="F37" s="45" t="str">
        <f>MasterMaterials!F38</f>
        <v/>
      </c>
      <c r="G37" s="45" t="str">
        <f>MasterMaterials!G38</f>
        <v>ft</v>
      </c>
      <c r="H37" s="45">
        <f>MasterMaterials!H38</f>
        <v>0</v>
      </c>
      <c r="I37" s="46">
        <f>MasterMaterials!I38</f>
        <v>0.11</v>
      </c>
      <c r="J37" s="47">
        <f>MasterMaterials!J38</f>
        <v>0.24</v>
      </c>
      <c r="K37" s="45" t="str">
        <f>MasterMaterials!K38</f>
        <v>Y</v>
      </c>
      <c r="L37" s="45" t="str">
        <f>MasterMaterials!L38</f>
        <v/>
      </c>
      <c r="M37" s="45" t="str">
        <f>MasterMaterials!M38</f>
        <v/>
      </c>
      <c r="N37" s="45" t="str">
        <f>MasterMaterials!N38</f>
        <v/>
      </c>
      <c r="O37" s="48">
        <f>MasterMaterials!O38</f>
        <v>45988</v>
      </c>
    </row>
    <row r="38">
      <c r="A38" s="45" t="str">
        <f>MasterMaterials!A39</f>
        <v>Aspen, 2.5", Mulit Stem, ea</v>
      </c>
      <c r="B38" s="45" t="str">
        <f>MasterMaterials!B39</f>
        <v>LMN40150764</v>
      </c>
      <c r="C38" s="45" t="str">
        <f>MasterMaterials!C39</f>
        <v>H</v>
      </c>
      <c r="D38" s="45" t="str">
        <f>MasterMaterials!D39</f>
        <v/>
      </c>
      <c r="E38" s="45" t="str">
        <f>MasterMaterials!E39</f>
        <v>Aspen, 2.5", Mulit Stem, ea</v>
      </c>
      <c r="F38" s="45" t="str">
        <f>MasterMaterials!F39</f>
        <v/>
      </c>
      <c r="G38" s="45" t="str">
        <f>MasterMaterials!G39</f>
        <v>ea</v>
      </c>
      <c r="H38" s="45">
        <f>MasterMaterials!H39</f>
        <v>0</v>
      </c>
      <c r="I38" s="46">
        <f>MasterMaterials!I39</f>
        <v>365</v>
      </c>
      <c r="J38" s="47">
        <f>MasterMaterials!J39</f>
        <v>637.3</v>
      </c>
      <c r="K38" s="45" t="str">
        <f>MasterMaterials!K39</f>
        <v>Y</v>
      </c>
      <c r="L38" s="45" t="str">
        <f>MasterMaterials!L39</f>
        <v/>
      </c>
      <c r="M38" s="45" t="str">
        <f>MasterMaterials!M39</f>
        <v/>
      </c>
      <c r="N38" s="45" t="str">
        <f>MasterMaterials!N39</f>
        <v/>
      </c>
      <c r="O38" s="48">
        <f>MasterMaterials!O39</f>
        <v>45988</v>
      </c>
    </row>
    <row r="39">
      <c r="A39" s="45" t="str">
        <f>MasterMaterials!A40</f>
        <v>Aspen, 2.5", Single Stem, ea</v>
      </c>
      <c r="B39" s="45" t="str">
        <f>MasterMaterials!B40</f>
        <v>LMN40150758</v>
      </c>
      <c r="C39" s="45" t="str">
        <f>MasterMaterials!C40</f>
        <v>H</v>
      </c>
      <c r="D39" s="45" t="str">
        <f>MasterMaterials!D40</f>
        <v/>
      </c>
      <c r="E39" s="45" t="str">
        <f>MasterMaterials!E40</f>
        <v>Aspen, 2.5", Single Stem, ea</v>
      </c>
      <c r="F39" s="45" t="str">
        <f>MasterMaterials!F40</f>
        <v/>
      </c>
      <c r="G39" s="45" t="str">
        <f>MasterMaterials!G40</f>
        <v>ea</v>
      </c>
      <c r="H39" s="45">
        <f>MasterMaterials!H40</f>
        <v>0</v>
      </c>
      <c r="I39" s="46">
        <f>MasterMaterials!I40</f>
        <v>300</v>
      </c>
      <c r="J39" s="47">
        <f>MasterMaterials!J40</f>
        <v>532.81</v>
      </c>
      <c r="K39" s="45" t="str">
        <f>MasterMaterials!K40</f>
        <v>Y</v>
      </c>
      <c r="L39" s="45" t="str">
        <f>MasterMaterials!L40</f>
        <v/>
      </c>
      <c r="M39" s="45" t="str">
        <f>MasterMaterials!M40</f>
        <v/>
      </c>
      <c r="N39" s="45" t="str">
        <f>MasterMaterials!N40</f>
        <v/>
      </c>
      <c r="O39" s="48">
        <f>MasterMaterials!O40</f>
        <v>45988</v>
      </c>
    </row>
    <row r="40">
      <c r="A40" s="45" t="str">
        <f>MasterMaterials!A41</f>
        <v>Aspen, 2", Mulit Stem, ea</v>
      </c>
      <c r="B40" s="45" t="str">
        <f>MasterMaterials!B41</f>
        <v>LMN40150763</v>
      </c>
      <c r="C40" s="45" t="str">
        <f>MasterMaterials!C41</f>
        <v>H</v>
      </c>
      <c r="D40" s="45" t="str">
        <f>MasterMaterials!D41</f>
        <v/>
      </c>
      <c r="E40" s="45" t="str">
        <f>MasterMaterials!E41</f>
        <v>Aspen, 2", Mulit Stem, ea</v>
      </c>
      <c r="F40" s="45" t="str">
        <f>MasterMaterials!F41</f>
        <v/>
      </c>
      <c r="G40" s="45" t="str">
        <f>MasterMaterials!G41</f>
        <v>ea</v>
      </c>
      <c r="H40" s="45">
        <f>MasterMaterials!H41</f>
        <v>0</v>
      </c>
      <c r="I40" s="46">
        <f>MasterMaterials!I41</f>
        <v>335</v>
      </c>
      <c r="J40" s="47">
        <f>MasterMaterials!J41</f>
        <v>527.3</v>
      </c>
      <c r="K40" s="45" t="str">
        <f>MasterMaterials!K41</f>
        <v>Y</v>
      </c>
      <c r="L40" s="45" t="str">
        <f>MasterMaterials!L41</f>
        <v/>
      </c>
      <c r="M40" s="45" t="str">
        <f>MasterMaterials!M41</f>
        <v/>
      </c>
      <c r="N40" s="45" t="str">
        <f>MasterMaterials!N41</f>
        <v/>
      </c>
      <c r="O40" s="48">
        <f>MasterMaterials!O41</f>
        <v>45988</v>
      </c>
    </row>
    <row r="41">
      <c r="A41" s="45" t="str">
        <f>MasterMaterials!A42</f>
        <v>Aspen, 2", Single Stem, ea</v>
      </c>
      <c r="B41" s="45" t="str">
        <f>MasterMaterials!B42</f>
        <v>LMN40150757</v>
      </c>
      <c r="C41" s="45" t="str">
        <f>MasterMaterials!C42</f>
        <v>H</v>
      </c>
      <c r="D41" s="45" t="str">
        <f>MasterMaterials!D42</f>
        <v/>
      </c>
      <c r="E41" s="45" t="str">
        <f>MasterMaterials!E42</f>
        <v>Aspen, 2", Single Stem, ea</v>
      </c>
      <c r="F41" s="45" t="str">
        <f>MasterMaterials!F42</f>
        <v/>
      </c>
      <c r="G41" s="45" t="str">
        <f>MasterMaterials!G42</f>
        <v>ea</v>
      </c>
      <c r="H41" s="45">
        <f>MasterMaterials!H42</f>
        <v>0</v>
      </c>
      <c r="I41" s="46">
        <f>MasterMaterials!I42</f>
        <v>250</v>
      </c>
      <c r="J41" s="47">
        <f>MasterMaterials!J42</f>
        <v>420</v>
      </c>
      <c r="K41" s="45" t="str">
        <f>MasterMaterials!K42</f>
        <v>Y</v>
      </c>
      <c r="L41" s="45" t="str">
        <f>MasterMaterials!L42</f>
        <v/>
      </c>
      <c r="M41" s="45" t="str">
        <f>MasterMaterials!M42</f>
        <v/>
      </c>
      <c r="N41" s="45" t="str">
        <f>MasterMaterials!N42</f>
        <v/>
      </c>
      <c r="O41" s="48">
        <f>MasterMaterials!O42</f>
        <v>45988</v>
      </c>
    </row>
    <row r="42">
      <c r="A42" s="45" t="str">
        <f>MasterMaterials!A43</f>
        <v>Aspen, 3.5", Single Stem, ea</v>
      </c>
      <c r="B42" s="45" t="str">
        <f>MasterMaterials!B43</f>
        <v>LMN40150760</v>
      </c>
      <c r="C42" s="45" t="str">
        <f>MasterMaterials!C43</f>
        <v>H</v>
      </c>
      <c r="D42" s="45" t="str">
        <f>MasterMaterials!D43</f>
        <v/>
      </c>
      <c r="E42" s="45" t="str">
        <f>MasterMaterials!E43</f>
        <v>Aspen, 3.5", Single Stem, ea</v>
      </c>
      <c r="F42" s="45" t="str">
        <f>MasterMaterials!F43</f>
        <v/>
      </c>
      <c r="G42" s="45" t="str">
        <f>MasterMaterials!G43</f>
        <v>ea</v>
      </c>
      <c r="H42" s="45">
        <f>MasterMaterials!H43</f>
        <v>0</v>
      </c>
      <c r="I42" s="46">
        <f>MasterMaterials!I43</f>
        <v>420</v>
      </c>
      <c r="J42" s="47">
        <f>MasterMaterials!J43</f>
        <v>733.33</v>
      </c>
      <c r="K42" s="45" t="str">
        <f>MasterMaterials!K43</f>
        <v>Y</v>
      </c>
      <c r="L42" s="45" t="str">
        <f>MasterMaterials!L43</f>
        <v/>
      </c>
      <c r="M42" s="45" t="str">
        <f>MasterMaterials!M43</f>
        <v/>
      </c>
      <c r="N42" s="45" t="str">
        <f>MasterMaterials!N43</f>
        <v/>
      </c>
      <c r="O42" s="48">
        <f>MasterMaterials!O43</f>
        <v>45988</v>
      </c>
    </row>
    <row r="43">
      <c r="A43" s="45" t="str">
        <f>MasterMaterials!A44</f>
        <v>Aspen, 3", Mulit Stem, ea</v>
      </c>
      <c r="B43" s="45" t="str">
        <f>MasterMaterials!B44</f>
        <v>LMN40150765</v>
      </c>
      <c r="C43" s="45" t="str">
        <f>MasterMaterials!C44</f>
        <v>H</v>
      </c>
      <c r="D43" s="45" t="str">
        <f>MasterMaterials!D44</f>
        <v/>
      </c>
      <c r="E43" s="45" t="str">
        <f>MasterMaterials!E44</f>
        <v>Aspen, 3", Mulit Stem, ea</v>
      </c>
      <c r="F43" s="45" t="str">
        <f>MasterMaterials!F44</f>
        <v/>
      </c>
      <c r="G43" s="45" t="str">
        <f>MasterMaterials!G44</f>
        <v>ea</v>
      </c>
      <c r="H43" s="45">
        <f>MasterMaterials!H44</f>
        <v>0</v>
      </c>
      <c r="I43" s="46">
        <f>MasterMaterials!I44</f>
        <v>450</v>
      </c>
      <c r="J43" s="47">
        <f>MasterMaterials!J44</f>
        <v>785.71</v>
      </c>
      <c r="K43" s="45" t="str">
        <f>MasterMaterials!K44</f>
        <v>Y</v>
      </c>
      <c r="L43" s="45" t="str">
        <f>MasterMaterials!L44</f>
        <v/>
      </c>
      <c r="M43" s="45" t="str">
        <f>MasterMaterials!M44</f>
        <v/>
      </c>
      <c r="N43" s="45" t="str">
        <f>MasterMaterials!N44</f>
        <v/>
      </c>
      <c r="O43" s="48">
        <f>MasterMaterials!O44</f>
        <v>45988</v>
      </c>
    </row>
    <row r="44">
      <c r="A44" s="45" t="str">
        <f>MasterMaterials!A45</f>
        <v>Aspen, 3", Single Stem, ea</v>
      </c>
      <c r="B44" s="45" t="str">
        <f>MasterMaterials!B45</f>
        <v>LMN40150759</v>
      </c>
      <c r="C44" s="45" t="str">
        <f>MasterMaterials!C45</f>
        <v>H</v>
      </c>
      <c r="D44" s="45" t="str">
        <f>MasterMaterials!D45</f>
        <v/>
      </c>
      <c r="E44" s="45" t="str">
        <f>MasterMaterials!E45</f>
        <v>Aspen, 3", Single Stem, ea</v>
      </c>
      <c r="F44" s="45" t="str">
        <f>MasterMaterials!F45</f>
        <v/>
      </c>
      <c r="G44" s="45" t="str">
        <f>MasterMaterials!G45</f>
        <v>ea</v>
      </c>
      <c r="H44" s="45">
        <f>MasterMaterials!H45</f>
        <v>0</v>
      </c>
      <c r="I44" s="46">
        <f>MasterMaterials!I45</f>
        <v>360</v>
      </c>
      <c r="J44" s="47">
        <f>MasterMaterials!J45</f>
        <v>785.71</v>
      </c>
      <c r="K44" s="45" t="str">
        <f>MasterMaterials!K45</f>
        <v>Y</v>
      </c>
      <c r="L44" s="45" t="str">
        <f>MasterMaterials!L45</f>
        <v/>
      </c>
      <c r="M44" s="45" t="str">
        <f>MasterMaterials!M45</f>
        <v/>
      </c>
      <c r="N44" s="45" t="str">
        <f>MasterMaterials!N45</f>
        <v/>
      </c>
      <c r="O44" s="48">
        <f>MasterMaterials!O45</f>
        <v>45988</v>
      </c>
    </row>
    <row r="45">
      <c r="A45" s="45" t="str">
        <f>MasterMaterials!A46</f>
        <v>Aspen, 4.5", Single Stem, ea</v>
      </c>
      <c r="B45" s="45" t="str">
        <f>MasterMaterials!B46</f>
        <v>LMN40150762</v>
      </c>
      <c r="C45" s="45" t="str">
        <f>MasterMaterials!C46</f>
        <v>H</v>
      </c>
      <c r="D45" s="45" t="str">
        <f>MasterMaterials!D46</f>
        <v/>
      </c>
      <c r="E45" s="45" t="str">
        <f>MasterMaterials!E46</f>
        <v>Aspen, 4.5", Single Stem, ea</v>
      </c>
      <c r="F45" s="45" t="str">
        <f>MasterMaterials!F46</f>
        <v/>
      </c>
      <c r="G45" s="45" t="str">
        <f>MasterMaterials!G46</f>
        <v>ea</v>
      </c>
      <c r="H45" s="45">
        <f>MasterMaterials!H46</f>
        <v>0</v>
      </c>
      <c r="I45" s="46">
        <f>MasterMaterials!I46</f>
        <v>650</v>
      </c>
      <c r="J45" s="47">
        <f>MasterMaterials!J46</f>
        <v>1134.9</v>
      </c>
      <c r="K45" s="45" t="str">
        <f>MasterMaterials!K46</f>
        <v>Y</v>
      </c>
      <c r="L45" s="45" t="str">
        <f>MasterMaterials!L46</f>
        <v/>
      </c>
      <c r="M45" s="45" t="str">
        <f>MasterMaterials!M46</f>
        <v/>
      </c>
      <c r="N45" s="45" t="str">
        <f>MasterMaterials!N46</f>
        <v/>
      </c>
      <c r="O45" s="48">
        <f>MasterMaterials!O46</f>
        <v>45988</v>
      </c>
    </row>
    <row r="46">
      <c r="A46" s="45" t="str">
        <f>MasterMaterials!A47</f>
        <v>Aspen, 4", Single Stem, ea</v>
      </c>
      <c r="B46" s="45" t="str">
        <f>MasterMaterials!B47</f>
        <v>LMN40150761</v>
      </c>
      <c r="C46" s="45" t="str">
        <f>MasterMaterials!C47</f>
        <v>H</v>
      </c>
      <c r="D46" s="45" t="str">
        <f>MasterMaterials!D47</f>
        <v/>
      </c>
      <c r="E46" s="45" t="str">
        <f>MasterMaterials!E47</f>
        <v>Aspen, 4", Single Stem, ea</v>
      </c>
      <c r="F46" s="45" t="str">
        <f>MasterMaterials!F47</f>
        <v/>
      </c>
      <c r="G46" s="45" t="str">
        <f>MasterMaterials!G47</f>
        <v>ea</v>
      </c>
      <c r="H46" s="45">
        <f>MasterMaterials!H47</f>
        <v>0</v>
      </c>
      <c r="I46" s="46">
        <f>MasterMaterials!I47</f>
        <v>580</v>
      </c>
      <c r="J46" s="47">
        <f>MasterMaterials!J47</f>
        <v>1012.7</v>
      </c>
      <c r="K46" s="45" t="str">
        <f>MasterMaterials!K47</f>
        <v>Y</v>
      </c>
      <c r="L46" s="45" t="str">
        <f>MasterMaterials!L47</f>
        <v/>
      </c>
      <c r="M46" s="45" t="str">
        <f>MasterMaterials!M47</f>
        <v/>
      </c>
      <c r="N46" s="45" t="str">
        <f>MasterMaterials!N47</f>
        <v/>
      </c>
      <c r="O46" s="48">
        <f>MasterMaterials!O47</f>
        <v>45988</v>
      </c>
    </row>
    <row r="47">
      <c r="A47" s="45" t="str">
        <f>MasterMaterials!A48</f>
        <v>Belgard Pavers, sf</v>
      </c>
      <c r="B47" s="45" t="str">
        <f>MasterMaterials!B48</f>
        <v>LMN46192893</v>
      </c>
      <c r="C47" s="45" t="str">
        <f>MasterMaterials!C48</f>
        <v>H</v>
      </c>
      <c r="D47" s="45" t="str">
        <f>MasterMaterials!D48</f>
        <v/>
      </c>
      <c r="E47" s="45" t="str">
        <f>MasterMaterials!E48</f>
        <v>Belgard Pavers, sf</v>
      </c>
      <c r="F47" s="45" t="str">
        <f>MasterMaterials!F48</f>
        <v/>
      </c>
      <c r="G47" s="45" t="str">
        <f>MasterMaterials!G48</f>
        <v>sf</v>
      </c>
      <c r="H47" s="45">
        <f>MasterMaterials!H48</f>
        <v>0</v>
      </c>
      <c r="I47" s="46">
        <f>MasterMaterials!I48</f>
        <v>7.5</v>
      </c>
      <c r="J47" s="47">
        <f>MasterMaterials!J48</f>
        <v>12.54</v>
      </c>
      <c r="K47" s="45" t="str">
        <f>MasterMaterials!K48</f>
        <v/>
      </c>
      <c r="L47" s="45" t="str">
        <f>MasterMaterials!L48</f>
        <v/>
      </c>
      <c r="M47" s="45" t="str">
        <f>MasterMaterials!M48</f>
        <v/>
      </c>
      <c r="N47" s="45" t="str">
        <f>MasterMaterials!N48</f>
        <v/>
      </c>
      <c r="O47" s="48">
        <f>MasterMaterials!O48</f>
        <v>45988</v>
      </c>
    </row>
    <row r="48">
      <c r="A48" s="45" t="str">
        <f>MasterMaterials!A49</f>
        <v>Blazing Saddles, ea</v>
      </c>
      <c r="B48" s="45" t="str">
        <f>MasterMaterials!B49</f>
        <v>LMN40150683</v>
      </c>
      <c r="C48" s="45" t="str">
        <f>MasterMaterials!C49</f>
        <v>H</v>
      </c>
      <c r="D48" s="45" t="str">
        <f>MasterMaterials!D49</f>
        <v/>
      </c>
      <c r="E48" s="45" t="str">
        <f>MasterMaterials!E49</f>
        <v>Blazing Saddles, ea</v>
      </c>
      <c r="F48" s="45" t="str">
        <f>MasterMaterials!F49</f>
        <v/>
      </c>
      <c r="G48" s="45" t="str">
        <f>MasterMaterials!G49</f>
        <v>ea</v>
      </c>
      <c r="H48" s="45">
        <f>MasterMaterials!H49</f>
        <v>0</v>
      </c>
      <c r="I48" s="46">
        <f>MasterMaterials!I49</f>
        <v>2.15</v>
      </c>
      <c r="J48" s="47">
        <f>MasterMaterials!J49</f>
        <v>4.9</v>
      </c>
      <c r="K48" s="45" t="str">
        <f>MasterMaterials!K49</f>
        <v>Y</v>
      </c>
      <c r="L48" s="45" t="str">
        <f>MasterMaterials!L49</f>
        <v/>
      </c>
      <c r="M48" s="45" t="str">
        <f>MasterMaterials!M49</f>
        <v/>
      </c>
      <c r="N48" s="45" t="str">
        <f>MasterMaterials!N49</f>
        <v/>
      </c>
      <c r="O48" s="49">
        <f>MasterMaterials!O49</f>
        <v>45989</v>
      </c>
    </row>
    <row r="49">
      <c r="A49" s="45" t="str">
        <f>MasterMaterials!A50</f>
        <v>Boulder, Quarry Works, ton</v>
      </c>
      <c r="B49" s="45" t="str">
        <f>MasterMaterials!B50</f>
        <v>LMN40150708</v>
      </c>
      <c r="C49" s="45" t="str">
        <f>MasterMaterials!C50</f>
        <v>H</v>
      </c>
      <c r="D49" s="45" t="str">
        <f>MasterMaterials!D50</f>
        <v/>
      </c>
      <c r="E49" s="45" t="str">
        <f>MasterMaterials!E50</f>
        <v>Boulder, Quarry Works, ton</v>
      </c>
      <c r="F49" s="45" t="str">
        <f>MasterMaterials!F50</f>
        <v/>
      </c>
      <c r="G49" s="45" t="str">
        <f>MasterMaterials!G50</f>
        <v>ton</v>
      </c>
      <c r="H49" s="45">
        <f>MasterMaterials!H50</f>
        <v>0</v>
      </c>
      <c r="I49" s="46">
        <f>MasterMaterials!I50</f>
        <v>375</v>
      </c>
      <c r="J49" s="47">
        <f>MasterMaterials!J50</f>
        <v>431</v>
      </c>
      <c r="K49" s="45" t="str">
        <f>MasterMaterials!K50</f>
        <v/>
      </c>
      <c r="L49" s="45" t="str">
        <f>MasterMaterials!L50</f>
        <v/>
      </c>
      <c r="M49" s="45" t="str">
        <f>MasterMaterials!M50</f>
        <v/>
      </c>
      <c r="N49" s="45" t="str">
        <f>MasterMaterials!N50</f>
        <v/>
      </c>
      <c r="O49" s="48">
        <f>MasterMaterials!O50</f>
        <v>45988</v>
      </c>
    </row>
    <row r="50">
      <c r="A50" s="45" t="str">
        <f>MasterMaterials!A51</f>
        <v>Bristlecone Pine, 6', ea</v>
      </c>
      <c r="B50" s="45" t="str">
        <f>MasterMaterials!B51</f>
        <v>LMN45440733</v>
      </c>
      <c r="C50" s="45" t="str">
        <f>MasterMaterials!C51</f>
        <v>H</v>
      </c>
      <c r="D50" s="45" t="str">
        <f>MasterMaterials!D51</f>
        <v/>
      </c>
      <c r="E50" s="45" t="str">
        <f>MasterMaterials!E51</f>
        <v>Bristlecone Pine, 6', ea</v>
      </c>
      <c r="F50" s="45" t="str">
        <f>MasterMaterials!F51</f>
        <v/>
      </c>
      <c r="G50" s="45" t="str">
        <f>MasterMaterials!G51</f>
        <v>ea</v>
      </c>
      <c r="H50" s="45">
        <f>MasterMaterials!H51</f>
        <v>0</v>
      </c>
      <c r="I50" s="46">
        <f>MasterMaterials!I51</f>
        <v>432</v>
      </c>
      <c r="J50" s="47">
        <f>MasterMaterials!J51</f>
        <v>722.09</v>
      </c>
      <c r="K50" s="45" t="str">
        <f>MasterMaterials!K51</f>
        <v/>
      </c>
      <c r="L50" s="45" t="str">
        <f>MasterMaterials!L51</f>
        <v/>
      </c>
      <c r="M50" s="45" t="str">
        <f>MasterMaterials!M51</f>
        <v/>
      </c>
      <c r="N50" s="45" t="str">
        <f>MasterMaterials!N51</f>
        <v/>
      </c>
      <c r="O50" s="48">
        <f>MasterMaterials!O51</f>
        <v>45988</v>
      </c>
    </row>
    <row r="51">
      <c r="A51" s="45" t="str">
        <f>MasterMaterials!A52</f>
        <v>Bubbler, ea</v>
      </c>
      <c r="B51" s="45" t="str">
        <f>MasterMaterials!B52</f>
        <v>LMN40150684</v>
      </c>
      <c r="C51" s="45" t="str">
        <f>MasterMaterials!C52</f>
        <v>H</v>
      </c>
      <c r="D51" s="45" t="str">
        <f>MasterMaterials!D52</f>
        <v/>
      </c>
      <c r="E51" s="45" t="str">
        <f>MasterMaterials!E52</f>
        <v>Bubbler, ea</v>
      </c>
      <c r="F51" s="45" t="str">
        <f>MasterMaterials!F52</f>
        <v/>
      </c>
      <c r="G51" s="45" t="str">
        <f>MasterMaterials!G52</f>
        <v>ea</v>
      </c>
      <c r="H51" s="45">
        <f>MasterMaterials!H52</f>
        <v>0</v>
      </c>
      <c r="I51" s="46">
        <f>MasterMaterials!I52</f>
        <v>6.34</v>
      </c>
      <c r="J51" s="47">
        <f>MasterMaterials!J52</f>
        <v>10.6</v>
      </c>
      <c r="K51" s="45" t="str">
        <f>MasterMaterials!K52</f>
        <v/>
      </c>
      <c r="L51" s="45" t="str">
        <f>MasterMaterials!L52</f>
        <v/>
      </c>
      <c r="M51" s="45" t="str">
        <f>MasterMaterials!M52</f>
        <v/>
      </c>
      <c r="N51" s="45" t="str">
        <f>MasterMaterials!N52</f>
        <v/>
      </c>
      <c r="O51" s="48">
        <f>MasterMaterials!O52</f>
        <v>45989</v>
      </c>
    </row>
    <row r="52">
      <c r="A52" s="45" t="str">
        <f>MasterMaterials!A53</f>
        <v>Bulb, ea</v>
      </c>
      <c r="B52" s="45" t="str">
        <f>MasterMaterials!B53</f>
        <v>LMN40150788</v>
      </c>
      <c r="C52" s="45" t="str">
        <f>MasterMaterials!C53</f>
        <v>H</v>
      </c>
      <c r="D52" s="45" t="str">
        <f>MasterMaterials!D53</f>
        <v/>
      </c>
      <c r="E52" s="45" t="str">
        <f>MasterMaterials!E53</f>
        <v>Bulb, ea</v>
      </c>
      <c r="F52" s="45" t="str">
        <f>MasterMaterials!F53</f>
        <v/>
      </c>
      <c r="G52" s="45" t="str">
        <f>MasterMaterials!G53</f>
        <v>ea</v>
      </c>
      <c r="H52" s="45">
        <f>MasterMaterials!H53</f>
        <v>0</v>
      </c>
      <c r="I52" s="46">
        <f>MasterMaterials!I53</f>
        <v>1.4</v>
      </c>
      <c r="J52" s="47">
        <f>MasterMaterials!J53</f>
        <v>2.34</v>
      </c>
      <c r="K52" s="45" t="str">
        <f>MasterMaterials!K53</f>
        <v/>
      </c>
      <c r="L52" s="45" t="str">
        <f>MasterMaterials!L53</f>
        <v/>
      </c>
      <c r="M52" s="45" t="str">
        <f>MasterMaterials!M53</f>
        <v/>
      </c>
      <c r="N52" s="45" t="str">
        <f>MasterMaterials!N53</f>
        <v/>
      </c>
      <c r="O52" s="48">
        <f>MasterMaterials!O53</f>
        <v>45988</v>
      </c>
    </row>
    <row r="53">
      <c r="A53" s="45" t="str">
        <f>MasterMaterials!A54</f>
        <v>Bulk, misc, cost</v>
      </c>
      <c r="B53" s="45" t="str">
        <f>MasterMaterials!B54</f>
        <v>LMN43171760</v>
      </c>
      <c r="C53" s="45" t="str">
        <f>MasterMaterials!C54</f>
        <v>H</v>
      </c>
      <c r="D53" s="45" t="str">
        <f>MasterMaterials!D54</f>
        <v/>
      </c>
      <c r="E53" s="45" t="str">
        <f>MasterMaterials!E54</f>
        <v>Bulk, misc, cost</v>
      </c>
      <c r="F53" s="45" t="str">
        <f>MasterMaterials!F54</f>
        <v/>
      </c>
      <c r="G53" s="45" t="str">
        <f>MasterMaterials!G54</f>
        <v>$</v>
      </c>
      <c r="H53" s="45">
        <f>MasterMaterials!H54</f>
        <v>0</v>
      </c>
      <c r="I53" s="46">
        <f>MasterMaterials!I54</f>
        <v>1</v>
      </c>
      <c r="J53" s="47">
        <f>MasterMaterials!J54</f>
        <v>1.67</v>
      </c>
      <c r="K53" s="45" t="str">
        <f>MasterMaterials!K54</f>
        <v/>
      </c>
      <c r="L53" s="45" t="str">
        <f>MasterMaterials!L54</f>
        <v/>
      </c>
      <c r="M53" s="45" t="str">
        <f>MasterMaterials!M54</f>
        <v/>
      </c>
      <c r="N53" s="45" t="str">
        <f>MasterMaterials!N54</f>
        <v/>
      </c>
      <c r="O53" s="48">
        <f>MasterMaterials!O54</f>
        <v>45958</v>
      </c>
    </row>
    <row r="54">
      <c r="A54" s="45" t="str">
        <f>MasterMaterials!A55</f>
        <v>Caging, linear, ft</v>
      </c>
      <c r="B54" s="45" t="str">
        <f>MasterMaterials!B55</f>
        <v>NEW006</v>
      </c>
      <c r="C54" s="45" t="str">
        <f>MasterMaterials!C55</f>
        <v>H</v>
      </c>
      <c r="D54" s="45" t="str">
        <f>MasterMaterials!D55</f>
        <v/>
      </c>
      <c r="E54" s="45" t="str">
        <f>MasterMaterials!E55</f>
        <v>Caging, linear, ft</v>
      </c>
      <c r="F54" s="45" t="str">
        <f>MasterMaterials!F55</f>
        <v/>
      </c>
      <c r="G54" s="45" t="str">
        <f>MasterMaterials!G55</f>
        <v>ft</v>
      </c>
      <c r="H54" s="45">
        <f>MasterMaterials!H55</f>
        <v>0</v>
      </c>
      <c r="I54" s="46">
        <f>MasterMaterials!I55</f>
        <v>2.42</v>
      </c>
      <c r="J54" s="47">
        <f>MasterMaterials!J55</f>
        <v>2.78</v>
      </c>
      <c r="K54" s="45" t="str">
        <f>MasterMaterials!K55</f>
        <v>Y</v>
      </c>
      <c r="L54" s="45" t="str">
        <f>MasterMaterials!L55</f>
        <v/>
      </c>
      <c r="M54" s="45" t="str">
        <f>MasterMaterials!M55</f>
        <v/>
      </c>
      <c r="N54" s="45" t="str">
        <f>MasterMaterials!N55</f>
        <v/>
      </c>
      <c r="O54" s="48">
        <f>MasterMaterials!O55</f>
        <v>45988</v>
      </c>
    </row>
    <row r="55">
      <c r="A55" s="45" t="str">
        <f>MasterMaterials!A56</f>
        <v>Cobble, yd</v>
      </c>
      <c r="B55" s="45" t="str">
        <f>MasterMaterials!B56</f>
        <v>LMN40150725</v>
      </c>
      <c r="C55" s="45" t="str">
        <f>MasterMaterials!C56</f>
        <v>H</v>
      </c>
      <c r="D55" s="45" t="str">
        <f>MasterMaterials!D56</f>
        <v/>
      </c>
      <c r="E55" s="45" t="str">
        <f>MasterMaterials!E56</f>
        <v>Cobble, yd</v>
      </c>
      <c r="F55" s="45" t="str">
        <f>MasterMaterials!F56</f>
        <v/>
      </c>
      <c r="G55" s="45" t="str">
        <f>MasterMaterials!G56</f>
        <v>yd</v>
      </c>
      <c r="H55" s="45">
        <f>MasterMaterials!H56</f>
        <v>0</v>
      </c>
      <c r="I55" s="46">
        <f>MasterMaterials!I56</f>
        <v>58</v>
      </c>
      <c r="J55" s="47">
        <f>MasterMaterials!J56</f>
        <v>67</v>
      </c>
      <c r="K55" s="45" t="str">
        <f>MasterMaterials!K56</f>
        <v/>
      </c>
      <c r="L55" s="45" t="str">
        <f>MasterMaterials!L56</f>
        <v/>
      </c>
      <c r="M55" s="45" t="str">
        <f>MasterMaterials!M56</f>
        <v/>
      </c>
      <c r="N55" s="45" t="str">
        <f>MasterMaterials!N56</f>
        <v/>
      </c>
      <c r="O55" s="48">
        <f>MasterMaterials!O56</f>
        <v>45988</v>
      </c>
    </row>
    <row r="56">
      <c r="A56" s="45" t="str">
        <f>MasterMaterials!A57</f>
        <v>Compost, Bagged, ea</v>
      </c>
      <c r="B56" s="45" t="str">
        <f>MasterMaterials!B57</f>
        <v>LMN40150720</v>
      </c>
      <c r="C56" s="45" t="str">
        <f>MasterMaterials!C57</f>
        <v>H</v>
      </c>
      <c r="D56" s="45" t="str">
        <f>MasterMaterials!D57</f>
        <v/>
      </c>
      <c r="E56" s="45" t="str">
        <f>MasterMaterials!E57</f>
        <v>Compost, Bagged, ea</v>
      </c>
      <c r="F56" s="45" t="str">
        <f>MasterMaterials!F57</f>
        <v/>
      </c>
      <c r="G56" s="45" t="str">
        <f>MasterMaterials!G57</f>
        <v>ea</v>
      </c>
      <c r="H56" s="45">
        <f>MasterMaterials!H57</f>
        <v>0</v>
      </c>
      <c r="I56" s="46">
        <f>MasterMaterials!I57</f>
        <v>2.47</v>
      </c>
      <c r="J56" s="47">
        <f>MasterMaterials!J57</f>
        <v>9.95</v>
      </c>
      <c r="K56" s="45" t="str">
        <f>MasterMaterials!K57</f>
        <v>Y</v>
      </c>
      <c r="L56" s="45" t="str">
        <f>MasterMaterials!L57</f>
        <v/>
      </c>
      <c r="M56" s="45" t="str">
        <f>MasterMaterials!M57</f>
        <v/>
      </c>
      <c r="N56" s="45" t="str">
        <f>MasterMaterials!N57</f>
        <v/>
      </c>
      <c r="O56" s="48">
        <f>MasterMaterials!O57</f>
        <v>45989</v>
      </c>
    </row>
    <row r="57">
      <c r="A57" s="45" t="str">
        <f>MasterMaterials!A58</f>
        <v>Compost, Bulk, yd</v>
      </c>
      <c r="B57" s="45" t="str">
        <f>MasterMaterials!B58</f>
        <v>LMN40150719</v>
      </c>
      <c r="C57" s="45" t="str">
        <f>MasterMaterials!C58</f>
        <v>H</v>
      </c>
      <c r="D57" s="45" t="str">
        <f>MasterMaterials!D58</f>
        <v/>
      </c>
      <c r="E57" s="45" t="str">
        <f>MasterMaterials!E58</f>
        <v>Compost, Bulk, yd</v>
      </c>
      <c r="F57" s="45" t="str">
        <f>MasterMaterials!F58</f>
        <v/>
      </c>
      <c r="G57" s="45" t="str">
        <f>MasterMaterials!G58</f>
        <v>yd</v>
      </c>
      <c r="H57" s="45">
        <f>MasterMaterials!H58</f>
        <v>0</v>
      </c>
      <c r="I57" s="46">
        <f>MasterMaterials!I58</f>
        <v>59</v>
      </c>
      <c r="J57" s="47">
        <f>MasterMaterials!J58</f>
        <v>59</v>
      </c>
      <c r="K57" s="45" t="str">
        <f>MasterMaterials!K58</f>
        <v>Y</v>
      </c>
      <c r="L57" s="45" t="str">
        <f>MasterMaterials!L58</f>
        <v/>
      </c>
      <c r="M57" s="45" t="str">
        <f>MasterMaterials!M58</f>
        <v/>
      </c>
      <c r="N57" s="45" t="str">
        <f>MasterMaterials!N58</f>
        <v/>
      </c>
      <c r="O57" s="48">
        <f>MasterMaterials!O58</f>
        <v>45989</v>
      </c>
    </row>
    <row r="58">
      <c r="A58" s="45" t="str">
        <f>MasterMaterials!A59</f>
        <v>Concrete Delivered, yd</v>
      </c>
      <c r="B58" s="45" t="str">
        <f>MasterMaterials!B59</f>
        <v>LMN40150738</v>
      </c>
      <c r="C58" s="45" t="str">
        <f>MasterMaterials!C59</f>
        <v>H</v>
      </c>
      <c r="D58" s="45" t="str">
        <f>MasterMaterials!D59</f>
        <v/>
      </c>
      <c r="E58" s="45" t="str">
        <f>MasterMaterials!E59</f>
        <v>Concrete Delivered, yd</v>
      </c>
      <c r="F58" s="45" t="str">
        <f>MasterMaterials!F59</f>
        <v/>
      </c>
      <c r="G58" s="45" t="str">
        <f>MasterMaterials!G59</f>
        <v>yd</v>
      </c>
      <c r="H58" s="45">
        <f>MasterMaterials!H59</f>
        <v>0</v>
      </c>
      <c r="I58" s="46">
        <f>MasterMaterials!I59</f>
        <v>181</v>
      </c>
      <c r="J58" s="47">
        <f>MasterMaterials!J59</f>
        <v>240</v>
      </c>
      <c r="K58" s="45" t="str">
        <f>MasterMaterials!K59</f>
        <v>Y</v>
      </c>
      <c r="L58" s="45" t="str">
        <f>MasterMaterials!L59</f>
        <v/>
      </c>
      <c r="M58" s="45" t="str">
        <f>MasterMaterials!M59</f>
        <v/>
      </c>
      <c r="N58" s="45" t="str">
        <f>MasterMaterials!N59</f>
        <v/>
      </c>
      <c r="O58" s="48">
        <f>MasterMaterials!O59</f>
        <v>45988</v>
      </c>
    </row>
    <row r="59">
      <c r="A59" s="45" t="str">
        <f>MasterMaterials!A60</f>
        <v>Concrete, Bagged, ea</v>
      </c>
      <c r="B59" s="45" t="str">
        <f>MasterMaterials!B60</f>
        <v>LMN40150737</v>
      </c>
      <c r="C59" s="45" t="str">
        <f>MasterMaterials!C60</f>
        <v>H</v>
      </c>
      <c r="D59" s="45" t="str">
        <f>MasterMaterials!D60</f>
        <v/>
      </c>
      <c r="E59" s="45" t="str">
        <f>MasterMaterials!E60</f>
        <v>Concrete, Bagged, ea</v>
      </c>
      <c r="F59" s="45" t="str">
        <f>MasterMaterials!F60</f>
        <v/>
      </c>
      <c r="G59" s="45" t="str">
        <f>MasterMaterials!G60</f>
        <v>ea</v>
      </c>
      <c r="H59" s="45">
        <f>MasterMaterials!H60</f>
        <v>0</v>
      </c>
      <c r="I59" s="46">
        <f>MasterMaterials!I60</f>
        <v>7</v>
      </c>
      <c r="J59" s="47">
        <f>MasterMaterials!J60</f>
        <v>11.7</v>
      </c>
      <c r="K59" s="45" t="str">
        <f>MasterMaterials!K60</f>
        <v/>
      </c>
      <c r="L59" s="45" t="str">
        <f>MasterMaterials!L60</f>
        <v/>
      </c>
      <c r="M59" s="45" t="str">
        <f>MasterMaterials!M60</f>
        <v/>
      </c>
      <c r="N59" s="45" t="str">
        <f>MasterMaterials!N60</f>
        <v/>
      </c>
      <c r="O59" s="48">
        <f>MasterMaterials!O60</f>
        <v>45988</v>
      </c>
    </row>
    <row r="60">
      <c r="A60" s="45" t="str">
        <f>MasterMaterials!A61</f>
        <v>Controller, Hunter HPC 400, ea</v>
      </c>
      <c r="B60" s="45" t="str">
        <f>MasterMaterials!B61</f>
        <v>LMN40150692</v>
      </c>
      <c r="C60" s="45" t="str">
        <f>MasterMaterials!C61</f>
        <v>H</v>
      </c>
      <c r="D60" s="45" t="str">
        <f>MasterMaterials!D61</f>
        <v/>
      </c>
      <c r="E60" s="45" t="str">
        <f>MasterMaterials!E61</f>
        <v>Controller, Hunter HPC 400, ea</v>
      </c>
      <c r="F60" s="45" t="str">
        <f>MasterMaterials!F61</f>
        <v/>
      </c>
      <c r="G60" s="45" t="str">
        <f>MasterMaterials!G61</f>
        <v>ea</v>
      </c>
      <c r="H60" s="45">
        <f>MasterMaterials!H61</f>
        <v>0</v>
      </c>
      <c r="I60" s="46">
        <f>MasterMaterials!I61</f>
        <v>180.29</v>
      </c>
      <c r="J60" s="47">
        <f>MasterMaterials!J61</f>
        <v>385.63</v>
      </c>
      <c r="K60" s="45" t="str">
        <f>MasterMaterials!K61</f>
        <v>Y</v>
      </c>
      <c r="L60" s="45" t="str">
        <f>MasterMaterials!L61</f>
        <v/>
      </c>
      <c r="M60" s="45" t="str">
        <f>MasterMaterials!M61</f>
        <v/>
      </c>
      <c r="N60" s="45" t="str">
        <f>MasterMaterials!N61</f>
        <v/>
      </c>
      <c r="O60" s="48">
        <f>MasterMaterials!O61</f>
        <v>45988</v>
      </c>
    </row>
    <row r="61">
      <c r="A61" s="45" t="str">
        <f>MasterMaterials!A62</f>
        <v>Controller, Hunter HPC Module, ea</v>
      </c>
      <c r="B61" s="45" t="str">
        <f>MasterMaterials!B62</f>
        <v>LMN40150693</v>
      </c>
      <c r="C61" s="45" t="str">
        <f>MasterMaterials!C62</f>
        <v>H</v>
      </c>
      <c r="D61" s="45" t="str">
        <f>MasterMaterials!D62</f>
        <v/>
      </c>
      <c r="E61" s="45" t="str">
        <f>MasterMaterials!E62</f>
        <v>Controller, Hunter HPC Module, ea</v>
      </c>
      <c r="F61" s="45" t="str">
        <f>MasterMaterials!F62</f>
        <v/>
      </c>
      <c r="G61" s="45" t="str">
        <f>MasterMaterials!G62</f>
        <v>ea</v>
      </c>
      <c r="H61" s="45">
        <f>MasterMaterials!H62</f>
        <v>0</v>
      </c>
      <c r="I61" s="46">
        <f>MasterMaterials!I62</f>
        <v>139.13</v>
      </c>
      <c r="J61" s="47">
        <f>MasterMaterials!J62</f>
        <v>292.02</v>
      </c>
      <c r="K61" s="45" t="str">
        <f>MasterMaterials!K62</f>
        <v>Y</v>
      </c>
      <c r="L61" s="45" t="str">
        <f>MasterMaterials!L62</f>
        <v/>
      </c>
      <c r="M61" s="45" t="str">
        <f>MasterMaterials!M62</f>
        <v/>
      </c>
      <c r="N61" s="45" t="str">
        <f>MasterMaterials!N62</f>
        <v/>
      </c>
      <c r="O61" s="48">
        <f>MasterMaterials!O62</f>
        <v>45988</v>
      </c>
    </row>
    <row r="62">
      <c r="A62" s="45" t="str">
        <f>MasterMaterials!A63</f>
        <v>Controller, Hunter Icore Dual (2 wire), ea</v>
      </c>
      <c r="B62" s="45" t="str">
        <f>MasterMaterials!B63</f>
        <v>LMN40150696</v>
      </c>
      <c r="C62" s="45" t="str">
        <f>MasterMaterials!C63</f>
        <v>H</v>
      </c>
      <c r="D62" s="45" t="str">
        <f>MasterMaterials!D63</f>
        <v/>
      </c>
      <c r="E62" s="45" t="str">
        <f>MasterMaterials!E63</f>
        <v>Controller, Hunter Icore Dual (2 wire), ea</v>
      </c>
      <c r="F62" s="45" t="str">
        <f>MasterMaterials!F63</f>
        <v/>
      </c>
      <c r="G62" s="45" t="str">
        <f>MasterMaterials!G63</f>
        <v>ea</v>
      </c>
      <c r="H62" s="45">
        <f>MasterMaterials!H63</f>
        <v>0</v>
      </c>
      <c r="I62" s="46">
        <f>MasterMaterials!I63</f>
        <v>1087.03</v>
      </c>
      <c r="J62" s="47">
        <f>MasterMaterials!J63</f>
        <v>2174.7</v>
      </c>
      <c r="K62" s="45" t="str">
        <f>MasterMaterials!K63</f>
        <v>Y</v>
      </c>
      <c r="L62" s="45" t="str">
        <f>MasterMaterials!L63</f>
        <v/>
      </c>
      <c r="M62" s="45" t="str">
        <f>MasterMaterials!M63</f>
        <v/>
      </c>
      <c r="N62" s="45" t="str">
        <f>MasterMaterials!N63</f>
        <v/>
      </c>
      <c r="O62" s="48">
        <f>MasterMaterials!O63</f>
        <v>45988</v>
      </c>
    </row>
    <row r="63">
      <c r="A63" s="45" t="str">
        <f>MasterMaterials!A64</f>
        <v>Controller, Rainbird ESP ME, ea</v>
      </c>
      <c r="B63" s="45" t="str">
        <f>MasterMaterials!B64</f>
        <v>LMN40150694</v>
      </c>
      <c r="C63" s="45" t="str">
        <f>MasterMaterials!C64</f>
        <v>H</v>
      </c>
      <c r="D63" s="45" t="str">
        <f>MasterMaterials!D64</f>
        <v/>
      </c>
      <c r="E63" s="45" t="str">
        <f>MasterMaterials!E64</f>
        <v>Controller, Rainbird ESP ME, ea</v>
      </c>
      <c r="F63" s="45" t="str">
        <f>MasterMaterials!F64</f>
        <v/>
      </c>
      <c r="G63" s="45" t="str">
        <f>MasterMaterials!G64</f>
        <v>ea</v>
      </c>
      <c r="H63" s="45">
        <f>MasterMaterials!H64</f>
        <v>0</v>
      </c>
      <c r="I63" s="46">
        <f>MasterMaterials!I64</f>
        <v>127.12</v>
      </c>
      <c r="J63" s="47">
        <f>MasterMaterials!J64</f>
        <v>254.23</v>
      </c>
      <c r="K63" s="45" t="str">
        <f>MasterMaterials!K64</f>
        <v>Y</v>
      </c>
      <c r="L63" s="45" t="str">
        <f>MasterMaterials!L64</f>
        <v/>
      </c>
      <c r="M63" s="45" t="str">
        <f>MasterMaterials!M64</f>
        <v/>
      </c>
      <c r="N63" s="45" t="str">
        <f>MasterMaterials!N64</f>
        <v/>
      </c>
      <c r="O63" s="48">
        <f>MasterMaterials!O64</f>
        <v>45988</v>
      </c>
    </row>
    <row r="64">
      <c r="A64" s="45" t="str">
        <f>MasterMaterials!A65</f>
        <v>Controller, Rainbird ESP Module, ea</v>
      </c>
      <c r="B64" s="45" t="str">
        <f>MasterMaterials!B65</f>
        <v>LMN40150695</v>
      </c>
      <c r="C64" s="45" t="str">
        <f>MasterMaterials!C65</f>
        <v>H</v>
      </c>
      <c r="D64" s="45" t="str">
        <f>MasterMaterials!D65</f>
        <v/>
      </c>
      <c r="E64" s="45" t="str">
        <f>MasterMaterials!E65</f>
        <v>Controller, Rainbird ESP Module, ea</v>
      </c>
      <c r="F64" s="45" t="str">
        <f>MasterMaterials!F65</f>
        <v/>
      </c>
      <c r="G64" s="45" t="str">
        <f>MasterMaterials!G65</f>
        <v>ea</v>
      </c>
      <c r="H64" s="45">
        <f>MasterMaterials!H65</f>
        <v>0</v>
      </c>
      <c r="I64" s="46">
        <f>MasterMaterials!I65</f>
        <v>171.99</v>
      </c>
      <c r="J64" s="47">
        <f>MasterMaterials!J65</f>
        <v>343.98</v>
      </c>
      <c r="K64" s="45" t="str">
        <f>MasterMaterials!K65</f>
        <v>Y</v>
      </c>
      <c r="L64" s="45" t="str">
        <f>MasterMaterials!L65</f>
        <v/>
      </c>
      <c r="M64" s="45" t="str">
        <f>MasterMaterials!M65</f>
        <v/>
      </c>
      <c r="N64" s="45" t="str">
        <f>MasterMaterials!N65</f>
        <v/>
      </c>
      <c r="O64" s="48">
        <f>MasterMaterials!O65</f>
        <v>45988</v>
      </c>
    </row>
    <row r="65">
      <c r="A65" s="45" t="str">
        <f>MasterMaterials!A66</f>
        <v>Crimp Rings, ea</v>
      </c>
      <c r="B65" s="45" t="str">
        <f>MasterMaterials!B66</f>
        <v>NEW044</v>
      </c>
      <c r="C65" s="45" t="str">
        <f>MasterMaterials!C66</f>
        <v>H</v>
      </c>
      <c r="D65" s="45" t="str">
        <f>MasterMaterials!D66</f>
        <v/>
      </c>
      <c r="E65" s="45" t="str">
        <f>MasterMaterials!E66</f>
        <v>Crimp Rings, ea</v>
      </c>
      <c r="F65" s="45" t="str">
        <f>MasterMaterials!F66</f>
        <v/>
      </c>
      <c r="G65" s="45" t="str">
        <f>MasterMaterials!G66</f>
        <v>ea</v>
      </c>
      <c r="H65" s="45">
        <f>MasterMaterials!H66</f>
        <v>0</v>
      </c>
      <c r="I65" s="46">
        <f>MasterMaterials!I66</f>
        <v>0.16</v>
      </c>
      <c r="J65" s="47">
        <f>MasterMaterials!J66</f>
        <v>0.32</v>
      </c>
      <c r="K65" s="45" t="str">
        <f>MasterMaterials!K66</f>
        <v>Y</v>
      </c>
      <c r="L65" s="45" t="str">
        <f>MasterMaterials!L66</f>
        <v/>
      </c>
      <c r="M65" s="45" t="str">
        <f>MasterMaterials!M66</f>
        <v/>
      </c>
      <c r="N65" s="45" t="str">
        <f>MasterMaterials!N66</f>
        <v/>
      </c>
      <c r="O65" s="48">
        <f>MasterMaterials!O66</f>
        <v>45989</v>
      </c>
    </row>
    <row r="66">
      <c r="A66" s="45" t="str">
        <f>MasterMaterials!A67</f>
        <v>Crusher Fines, yd</v>
      </c>
      <c r="B66" s="45" t="str">
        <f>MasterMaterials!B67</f>
        <v>LMN40150724</v>
      </c>
      <c r="C66" s="45" t="str">
        <f>MasterMaterials!C67</f>
        <v>H</v>
      </c>
      <c r="D66" s="45" t="str">
        <f>MasterMaterials!D67</f>
        <v/>
      </c>
      <c r="E66" s="45" t="str">
        <f>MasterMaterials!E67</f>
        <v>Crusher Fines, yd</v>
      </c>
      <c r="F66" s="45" t="str">
        <f>MasterMaterials!F67</f>
        <v/>
      </c>
      <c r="G66" s="45" t="str">
        <f>MasterMaterials!G67</f>
        <v>yd</v>
      </c>
      <c r="H66" s="45">
        <f>MasterMaterials!H67</f>
        <v>0</v>
      </c>
      <c r="I66" s="46">
        <f>MasterMaterials!I67</f>
        <v>23</v>
      </c>
      <c r="J66" s="47">
        <f>MasterMaterials!J67</f>
        <v>42</v>
      </c>
      <c r="K66" s="45" t="str">
        <f>MasterMaterials!K67</f>
        <v>Y</v>
      </c>
      <c r="L66" s="45" t="str">
        <f>MasterMaterials!L67</f>
        <v/>
      </c>
      <c r="M66" s="45" t="str">
        <f>MasterMaterials!M67</f>
        <v/>
      </c>
      <c r="N66" s="45" t="str">
        <f>MasterMaterials!N67</f>
        <v/>
      </c>
      <c r="O66" s="48">
        <f>MasterMaterials!O67</f>
        <v>45988</v>
      </c>
    </row>
    <row r="67">
      <c r="A67" s="45" t="str">
        <f>MasterMaterials!A68</f>
        <v>DC Solenoid, ea</v>
      </c>
      <c r="B67" s="45" t="str">
        <f>MasterMaterials!B68</f>
        <v>LMN40150691</v>
      </c>
      <c r="C67" s="45" t="str">
        <f>MasterMaterials!C68</f>
        <v>H</v>
      </c>
      <c r="D67" s="45" t="str">
        <f>MasterMaterials!D68</f>
        <v/>
      </c>
      <c r="E67" s="45" t="str">
        <f>MasterMaterials!E68</f>
        <v>DC Solenoid, ea</v>
      </c>
      <c r="F67" s="45" t="str">
        <f>MasterMaterials!F68</f>
        <v/>
      </c>
      <c r="G67" s="45" t="str">
        <f>MasterMaterials!G68</f>
        <v>ea</v>
      </c>
      <c r="H67" s="45">
        <f>MasterMaterials!H68</f>
        <v>0</v>
      </c>
      <c r="I67" s="46">
        <f>MasterMaterials!I68</f>
        <v>21.79</v>
      </c>
      <c r="J67" s="47">
        <f>MasterMaterials!J68</f>
        <v>61</v>
      </c>
      <c r="K67" s="45" t="str">
        <f>MasterMaterials!K68</f>
        <v>Y</v>
      </c>
      <c r="L67" s="45" t="str">
        <f>MasterMaterials!L68</f>
        <v/>
      </c>
      <c r="M67" s="45" t="str">
        <f>MasterMaterials!M68</f>
        <v/>
      </c>
      <c r="N67" s="45" t="str">
        <f>MasterMaterials!N68</f>
        <v/>
      </c>
      <c r="O67" s="48">
        <f>MasterMaterials!O68</f>
        <v>45988</v>
      </c>
    </row>
    <row r="68">
      <c r="A68" s="45" t="str">
        <f>MasterMaterials!A69</f>
        <v>Deciduous Cottonwood, 2.5", ea</v>
      </c>
      <c r="B68" s="45" t="str">
        <f>MasterMaterials!B69</f>
        <v>LMN40150770</v>
      </c>
      <c r="C68" s="45" t="str">
        <f>MasterMaterials!C69</f>
        <v>H</v>
      </c>
      <c r="D68" s="45" t="str">
        <f>MasterMaterials!D69</f>
        <v/>
      </c>
      <c r="E68" s="45" t="str">
        <f>MasterMaterials!E69</f>
        <v>Deciduous Cottonwood 2.5", ea</v>
      </c>
      <c r="F68" s="45" t="str">
        <f>MasterMaterials!F69</f>
        <v/>
      </c>
      <c r="G68" s="45" t="str">
        <f>MasterMaterials!G69</f>
        <v>ea</v>
      </c>
      <c r="H68" s="45">
        <f>MasterMaterials!H69</f>
        <v>0</v>
      </c>
      <c r="I68" s="46">
        <f>MasterMaterials!I69</f>
        <v>275</v>
      </c>
      <c r="J68" s="47">
        <f>MasterMaterials!J69</f>
        <v>453.12</v>
      </c>
      <c r="K68" s="45" t="str">
        <f>MasterMaterials!K69</f>
        <v>Y</v>
      </c>
      <c r="L68" s="45" t="str">
        <f>MasterMaterials!L69</f>
        <v/>
      </c>
      <c r="M68" s="45" t="str">
        <f>MasterMaterials!M69</f>
        <v/>
      </c>
      <c r="N68" s="45" t="str">
        <f>MasterMaterials!N69</f>
        <v/>
      </c>
      <c r="O68" s="49">
        <f>MasterMaterials!O69</f>
        <v>45988</v>
      </c>
    </row>
    <row r="69">
      <c r="A69" s="45" t="str">
        <f>MasterMaterials!A70</f>
        <v>Deciduous Cottonwood, 2", ea</v>
      </c>
      <c r="B69" s="45" t="str">
        <f>MasterMaterials!B70</f>
        <v>LMN40150769</v>
      </c>
      <c r="C69" s="45" t="str">
        <f>MasterMaterials!C70</f>
        <v>H</v>
      </c>
      <c r="D69" s="45" t="str">
        <f>MasterMaterials!D70</f>
        <v/>
      </c>
      <c r="E69" s="45" t="str">
        <f>MasterMaterials!E70</f>
        <v>Deciduous Cottonwood 2", ea</v>
      </c>
      <c r="F69" s="45" t="str">
        <f>MasterMaterials!F70</f>
        <v/>
      </c>
      <c r="G69" s="45" t="str">
        <f>MasterMaterials!G70</f>
        <v>ea</v>
      </c>
      <c r="H69" s="45">
        <f>MasterMaterials!H70</f>
        <v>0</v>
      </c>
      <c r="I69" s="46">
        <f>MasterMaterials!I70</f>
        <v>242</v>
      </c>
      <c r="J69" s="47">
        <f>MasterMaterials!J70</f>
        <v>390</v>
      </c>
      <c r="K69" s="45" t="str">
        <f>MasterMaterials!K70</f>
        <v>Y</v>
      </c>
      <c r="L69" s="45" t="str">
        <f>MasterMaterials!L70</f>
        <v/>
      </c>
      <c r="M69" s="45" t="str">
        <f>MasterMaterials!M70</f>
        <v/>
      </c>
      <c r="N69" s="45" t="str">
        <f>MasterMaterials!N70</f>
        <v/>
      </c>
      <c r="O69" s="48">
        <f>MasterMaterials!O70</f>
        <v>45988</v>
      </c>
    </row>
    <row r="70">
      <c r="A70" s="45" t="str">
        <f>MasterMaterials!A71</f>
        <v>Deciduous Cottonwood, 3", ea</v>
      </c>
      <c r="B70" s="45" t="str">
        <f>MasterMaterials!B71</f>
        <v>LMN40150771</v>
      </c>
      <c r="C70" s="45" t="str">
        <f>MasterMaterials!C71</f>
        <v>H</v>
      </c>
      <c r="D70" s="45" t="str">
        <f>MasterMaterials!D71</f>
        <v/>
      </c>
      <c r="E70" s="45" t="str">
        <f>MasterMaterials!E71</f>
        <v>Deciduous Cottonwood 3", ea</v>
      </c>
      <c r="F70" s="45" t="str">
        <f>MasterMaterials!F71</f>
        <v/>
      </c>
      <c r="G70" s="45" t="str">
        <f>MasterMaterials!G71</f>
        <v>ea</v>
      </c>
      <c r="H70" s="45">
        <f>MasterMaterials!H71</f>
        <v>0</v>
      </c>
      <c r="I70" s="46">
        <f>MasterMaterials!I71</f>
        <v>325</v>
      </c>
      <c r="J70" s="47">
        <f>MasterMaterials!J71</f>
        <v>495.6</v>
      </c>
      <c r="K70" s="45" t="str">
        <f>MasterMaterials!K71</f>
        <v>Y</v>
      </c>
      <c r="L70" s="45" t="str">
        <f>MasterMaterials!L71</f>
        <v/>
      </c>
      <c r="M70" s="45" t="str">
        <f>MasterMaterials!M71</f>
        <v/>
      </c>
      <c r="N70" s="45" t="str">
        <f>MasterMaterials!N71</f>
        <v/>
      </c>
      <c r="O70" s="49">
        <f>MasterMaterials!O71</f>
        <v>45988</v>
      </c>
    </row>
    <row r="71">
      <c r="A71" s="45" t="str">
        <f>MasterMaterials!A72</f>
        <v>Deciduous Shade/Fruit, 2.5", ea</v>
      </c>
      <c r="B71" s="45" t="str">
        <f>MasterMaterials!B72</f>
        <v>LMN40150767</v>
      </c>
      <c r="C71" s="45" t="str">
        <f>MasterMaterials!C72</f>
        <v>H</v>
      </c>
      <c r="D71" s="45" t="str">
        <f>MasterMaterials!D72</f>
        <v/>
      </c>
      <c r="E71" s="45" t="str">
        <f>MasterMaterials!E72</f>
        <v>Deciduous Shade/Fruit 2.5", ea</v>
      </c>
      <c r="F71" s="45" t="str">
        <f>MasterMaterials!F72</f>
        <v/>
      </c>
      <c r="G71" s="45" t="str">
        <f>MasterMaterials!G72</f>
        <v>ea</v>
      </c>
      <c r="H71" s="45">
        <f>MasterMaterials!H72</f>
        <v>0</v>
      </c>
      <c r="I71" s="46">
        <f>MasterMaterials!I72</f>
        <v>330</v>
      </c>
      <c r="J71" s="47">
        <f>MasterMaterials!J72</f>
        <v>531</v>
      </c>
      <c r="K71" s="45" t="str">
        <f>MasterMaterials!K72</f>
        <v>Y</v>
      </c>
      <c r="L71" s="45" t="str">
        <f>MasterMaterials!L72</f>
        <v/>
      </c>
      <c r="M71" s="45" t="str">
        <f>MasterMaterials!M72</f>
        <v/>
      </c>
      <c r="N71" s="45" t="str">
        <f>MasterMaterials!N72</f>
        <v/>
      </c>
      <c r="O71" s="49">
        <f>MasterMaterials!O72</f>
        <v>45988</v>
      </c>
    </row>
    <row r="72">
      <c r="A72" s="45" t="str">
        <f>MasterMaterials!A73</f>
        <v>Deciduous Shade/Fruit, 2", ea</v>
      </c>
      <c r="B72" s="45" t="str">
        <f>MasterMaterials!B73</f>
        <v>LMN40150766</v>
      </c>
      <c r="C72" s="45" t="str">
        <f>MasterMaterials!C73</f>
        <v>H</v>
      </c>
      <c r="D72" s="45" t="str">
        <f>MasterMaterials!D73</f>
        <v/>
      </c>
      <c r="E72" s="45" t="str">
        <f>MasterMaterials!E73</f>
        <v>Deciduous Shade/Fruit 2", ea</v>
      </c>
      <c r="F72" s="45" t="str">
        <f>MasterMaterials!F73</f>
        <v/>
      </c>
      <c r="G72" s="45" t="str">
        <f>MasterMaterials!G73</f>
        <v>ea</v>
      </c>
      <c r="H72" s="45">
        <f>MasterMaterials!H73</f>
        <v>0</v>
      </c>
      <c r="I72" s="46">
        <f>MasterMaterials!I73</f>
        <v>300</v>
      </c>
      <c r="J72" s="47">
        <f>MasterMaterials!J73</f>
        <v>460</v>
      </c>
      <c r="K72" s="45" t="str">
        <f>MasterMaterials!K73</f>
        <v>Y</v>
      </c>
      <c r="L72" s="45" t="str">
        <f>MasterMaterials!L73</f>
        <v/>
      </c>
      <c r="M72" s="45" t="str">
        <f>MasterMaterials!M73</f>
        <v/>
      </c>
      <c r="N72" s="45" t="str">
        <f>MasterMaterials!N73</f>
        <v/>
      </c>
      <c r="O72" s="49">
        <f>MasterMaterials!O73</f>
        <v>45988</v>
      </c>
    </row>
    <row r="73">
      <c r="A73" s="45" t="str">
        <f>MasterMaterials!A74</f>
        <v>Deciduous Shade/Fruit, 3", ea</v>
      </c>
      <c r="B73" s="45" t="str">
        <f>MasterMaterials!B74</f>
        <v>LMN40150768</v>
      </c>
      <c r="C73" s="45" t="str">
        <f>MasterMaterials!C74</f>
        <v>H</v>
      </c>
      <c r="D73" s="45" t="str">
        <f>MasterMaterials!D74</f>
        <v/>
      </c>
      <c r="E73" s="45" t="str">
        <f>MasterMaterials!E74</f>
        <v>Deciduous Shade/Fruit 3", ea</v>
      </c>
      <c r="F73" s="45" t="str">
        <f>MasterMaterials!F74</f>
        <v/>
      </c>
      <c r="G73" s="45" t="str">
        <f>MasterMaterials!G74</f>
        <v>ea</v>
      </c>
      <c r="H73" s="45">
        <f>MasterMaterials!H74</f>
        <v>0</v>
      </c>
      <c r="I73" s="46">
        <f>MasterMaterials!I74</f>
        <v>360</v>
      </c>
      <c r="J73" s="47">
        <f>MasterMaterials!J74</f>
        <v>575</v>
      </c>
      <c r="K73" s="45" t="str">
        <f>MasterMaterials!K74</f>
        <v>Y</v>
      </c>
      <c r="L73" s="45" t="str">
        <f>MasterMaterials!L74</f>
        <v/>
      </c>
      <c r="M73" s="45" t="str">
        <f>MasterMaterials!M74</f>
        <v/>
      </c>
      <c r="N73" s="45" t="str">
        <f>MasterMaterials!N74</f>
        <v/>
      </c>
      <c r="O73" s="48">
        <f>MasterMaterials!O74</f>
        <v>45988</v>
      </c>
    </row>
    <row r="74">
      <c r="A74" s="45" t="str">
        <f>MasterMaterials!A75</f>
        <v>Decoder, Hunter Icore, ea</v>
      </c>
      <c r="B74" s="45" t="str">
        <f>MasterMaterials!B75</f>
        <v>LMN40150697</v>
      </c>
      <c r="C74" s="45" t="str">
        <f>MasterMaterials!C75</f>
        <v>H</v>
      </c>
      <c r="D74" s="45" t="str">
        <f>MasterMaterials!D75</f>
        <v/>
      </c>
      <c r="E74" s="45" t="str">
        <f>MasterMaterials!E75</f>
        <v>Decoder, Hunter Icore, ea</v>
      </c>
      <c r="F74" s="45" t="str">
        <f>MasterMaterials!F75</f>
        <v/>
      </c>
      <c r="G74" s="45" t="str">
        <f>MasterMaterials!G75</f>
        <v>ea</v>
      </c>
      <c r="H74" s="45">
        <f>MasterMaterials!H75</f>
        <v>0</v>
      </c>
      <c r="I74" s="46">
        <f>MasterMaterials!I75</f>
        <v>133.8</v>
      </c>
      <c r="J74" s="47">
        <f>MasterMaterials!J75</f>
        <v>280.83</v>
      </c>
      <c r="K74" s="45" t="str">
        <f>MasterMaterials!K75</f>
        <v>Y</v>
      </c>
      <c r="L74" s="45" t="str">
        <f>MasterMaterials!L75</f>
        <v/>
      </c>
      <c r="M74" s="45" t="str">
        <f>MasterMaterials!M75</f>
        <v/>
      </c>
      <c r="N74" s="45" t="str">
        <f>MasterMaterials!N75</f>
        <v/>
      </c>
      <c r="O74" s="48">
        <f>MasterMaterials!O75</f>
        <v>45988</v>
      </c>
    </row>
    <row r="75">
      <c r="A75" s="45" t="str">
        <f>MasterMaterials!A76</f>
        <v>Decomposed Granite, yd</v>
      </c>
      <c r="B75" s="45" t="str">
        <f>MasterMaterials!B76</f>
        <v>LMN40150726</v>
      </c>
      <c r="C75" s="45" t="str">
        <f>MasterMaterials!C76</f>
        <v>H</v>
      </c>
      <c r="D75" s="45" t="str">
        <f>MasterMaterials!D76</f>
        <v/>
      </c>
      <c r="E75" s="45" t="str">
        <f>MasterMaterials!E76</f>
        <v>Decomposed Granite, yd</v>
      </c>
      <c r="F75" s="45" t="str">
        <f>MasterMaterials!F76</f>
        <v/>
      </c>
      <c r="G75" s="45" t="str">
        <f>MasterMaterials!G76</f>
        <v>yd</v>
      </c>
      <c r="H75" s="45">
        <f>MasterMaterials!H76</f>
        <v>0</v>
      </c>
      <c r="I75" s="46">
        <f>MasterMaterials!I76</f>
        <v>96</v>
      </c>
      <c r="J75" s="47">
        <f>MasterMaterials!J76</f>
        <v>160.47</v>
      </c>
      <c r="K75" s="45" t="str">
        <f>MasterMaterials!K76</f>
        <v/>
      </c>
      <c r="L75" s="45" t="str">
        <f>MasterMaterials!L76</f>
        <v/>
      </c>
      <c r="M75" s="45" t="str">
        <f>MasterMaterials!M76</f>
        <v/>
      </c>
      <c r="N75" s="45" t="str">
        <f>MasterMaterials!N76</f>
        <v/>
      </c>
      <c r="O75" s="48">
        <f>MasterMaterials!O76</f>
        <v>45988</v>
      </c>
    </row>
    <row r="76">
      <c r="A76" s="45" t="str">
        <f>MasterMaterials!A77</f>
        <v>Deer and Rabbit Spray, Big Sky, ea</v>
      </c>
      <c r="B76" s="45" t="str">
        <f>MasterMaterials!B77</f>
        <v>NEW007</v>
      </c>
      <c r="C76" s="45" t="str">
        <f>MasterMaterials!C77</f>
        <v>H</v>
      </c>
      <c r="D76" s="45" t="str">
        <f>MasterMaterials!D77</f>
        <v/>
      </c>
      <c r="E76" s="45" t="str">
        <f>MasterMaterials!E77</f>
        <v>Deer and Rabbit Spray, Big Sky, ea</v>
      </c>
      <c r="F76" s="45" t="str">
        <f>MasterMaterials!F77</f>
        <v/>
      </c>
      <c r="G76" s="45" t="str">
        <f>MasterMaterials!G77</f>
        <v>ea</v>
      </c>
      <c r="H76" s="45">
        <f>MasterMaterials!H77</f>
        <v>0</v>
      </c>
      <c r="I76" s="46">
        <f>MasterMaterials!I77</f>
        <v>15</v>
      </c>
      <c r="J76" s="47">
        <f>MasterMaterials!J77</f>
        <v>15</v>
      </c>
      <c r="K76" s="45" t="str">
        <f>MasterMaterials!K77</f>
        <v>Y</v>
      </c>
      <c r="L76" s="45" t="str">
        <f>MasterMaterials!L77</f>
        <v/>
      </c>
      <c r="M76" s="45" t="str">
        <f>MasterMaterials!M77</f>
        <v/>
      </c>
      <c r="N76" s="45" t="str">
        <f>MasterMaterials!N77</f>
        <v/>
      </c>
      <c r="O76" s="48">
        <f>MasterMaterials!O77</f>
        <v>45988</v>
      </c>
    </row>
    <row r="77">
      <c r="A77" s="45" t="str">
        <f>MasterMaterials!A78</f>
        <v>Deer and Rabbit Spray, Bozeman, ea</v>
      </c>
      <c r="B77" s="45" t="str">
        <f>MasterMaterials!B78</f>
        <v>NEW008</v>
      </c>
      <c r="C77" s="45" t="str">
        <f>MasterMaterials!C78</f>
        <v>H</v>
      </c>
      <c r="D77" s="45" t="str">
        <f>MasterMaterials!D78</f>
        <v/>
      </c>
      <c r="E77" s="45" t="str">
        <f>MasterMaterials!E78</f>
        <v>Deer and Rabbit Spray, Bozeman, ea</v>
      </c>
      <c r="F77" s="45" t="str">
        <f>MasterMaterials!F78</f>
        <v/>
      </c>
      <c r="G77" s="45" t="str">
        <f>MasterMaterials!G78</f>
        <v>ea</v>
      </c>
      <c r="H77" s="45">
        <f>MasterMaterials!H78</f>
        <v>0</v>
      </c>
      <c r="I77" s="46">
        <f>MasterMaterials!I78</f>
        <v>10</v>
      </c>
      <c r="J77" s="47">
        <f>MasterMaterials!J78</f>
        <v>10</v>
      </c>
      <c r="K77" s="45" t="str">
        <f>MasterMaterials!K78</f>
        <v>Y</v>
      </c>
      <c r="L77" s="45" t="str">
        <f>MasterMaterials!L78</f>
        <v/>
      </c>
      <c r="M77" s="45" t="str">
        <f>MasterMaterials!M78</f>
        <v/>
      </c>
      <c r="N77" s="45" t="str">
        <f>MasterMaterials!N78</f>
        <v/>
      </c>
      <c r="O77" s="48">
        <f>MasterMaterials!O78</f>
        <v>45988</v>
      </c>
    </row>
    <row r="78">
      <c r="A78" s="45" t="str">
        <f>MasterMaterials!A79</f>
        <v>Delivery (Install), Big Sky, ea</v>
      </c>
      <c r="B78" s="45" t="str">
        <f>MasterMaterials!B79</f>
        <v>NEW009</v>
      </c>
      <c r="C78" s="45" t="str">
        <f>MasterMaterials!C79</f>
        <v>H</v>
      </c>
      <c r="D78" s="45" t="str">
        <f>MasterMaterials!D79</f>
        <v/>
      </c>
      <c r="E78" s="45" t="str">
        <f>MasterMaterials!E79</f>
        <v>Delivery, Big Sky, ea</v>
      </c>
      <c r="F78" s="45" t="str">
        <f>MasterMaterials!F79</f>
        <v/>
      </c>
      <c r="G78" s="45" t="str">
        <f>MasterMaterials!G79</f>
        <v>ea</v>
      </c>
      <c r="H78" s="45">
        <f>MasterMaterials!H79</f>
        <v>0</v>
      </c>
      <c r="I78" s="46">
        <f>MasterMaterials!I79</f>
        <v>650</v>
      </c>
      <c r="J78" s="47">
        <f>MasterMaterials!J79</f>
        <v>780</v>
      </c>
      <c r="K78" s="45" t="str">
        <f>MasterMaterials!K79</f>
        <v>Y</v>
      </c>
      <c r="L78" s="45" t="str">
        <f>MasterMaterials!L79</f>
        <v/>
      </c>
      <c r="M78" s="45" t="str">
        <f>MasterMaterials!M79</f>
        <v/>
      </c>
      <c r="N78" s="45" t="str">
        <f>MasterMaterials!N79</f>
        <v/>
      </c>
      <c r="O78" s="48">
        <f>MasterMaterials!O79</f>
        <v>45988</v>
      </c>
    </row>
    <row r="79">
      <c r="A79" s="45" t="str">
        <f>MasterMaterials!A80</f>
        <v>Delivery (Install), Bozeman, ea</v>
      </c>
      <c r="B79" s="45" t="str">
        <f>MasterMaterials!B80</f>
        <v>NEW010</v>
      </c>
      <c r="C79" s="45" t="str">
        <f>MasterMaterials!C80</f>
        <v>H</v>
      </c>
      <c r="D79" s="45" t="str">
        <f>MasterMaterials!D80</f>
        <v/>
      </c>
      <c r="E79" s="45" t="str">
        <f>MasterMaterials!E80</f>
        <v>Delivery, Bozeman, ea</v>
      </c>
      <c r="F79" s="45" t="str">
        <f>MasterMaterials!F80</f>
        <v/>
      </c>
      <c r="G79" s="45" t="str">
        <f>MasterMaterials!G80</f>
        <v>ea</v>
      </c>
      <c r="H79" s="45">
        <f>MasterMaterials!H80</f>
        <v>0</v>
      </c>
      <c r="I79" s="46">
        <f>MasterMaterials!I80</f>
        <v>250</v>
      </c>
      <c r="J79" s="47">
        <f>MasterMaterials!J80</f>
        <v>300</v>
      </c>
      <c r="K79" s="45" t="str">
        <f>MasterMaterials!K80</f>
        <v>Y</v>
      </c>
      <c r="L79" s="45" t="str">
        <f>MasterMaterials!L80</f>
        <v/>
      </c>
      <c r="M79" s="45" t="str">
        <f>MasterMaterials!M80</f>
        <v/>
      </c>
      <c r="N79" s="45" t="str">
        <f>MasterMaterials!N80</f>
        <v/>
      </c>
      <c r="O79" s="49">
        <f>MasterMaterials!O80</f>
        <v>45988</v>
      </c>
    </row>
    <row r="80">
      <c r="A80" s="45" t="str">
        <f>MasterMaterials!A83</f>
        <v>Douglas Fir, 10', ea</v>
      </c>
      <c r="B80" s="45" t="str">
        <f>MasterMaterials!B83</f>
        <v>LMN44279462</v>
      </c>
      <c r="C80" s="45" t="str">
        <f>MasterMaterials!C83</f>
        <v>H</v>
      </c>
      <c r="D80" s="45" t="str">
        <f>MasterMaterials!D83</f>
        <v/>
      </c>
      <c r="E80" s="45" t="str">
        <f>MasterMaterials!E83</f>
        <v>Douglas Fir, 10', ea</v>
      </c>
      <c r="F80" s="45" t="str">
        <f>MasterMaterials!F83</f>
        <v/>
      </c>
      <c r="G80" s="45" t="str">
        <f>MasterMaterials!G83</f>
        <v>ea</v>
      </c>
      <c r="H80" s="45">
        <f>MasterMaterials!H83</f>
        <v>0</v>
      </c>
      <c r="I80" s="46">
        <f>MasterMaterials!I83</f>
        <v>825</v>
      </c>
      <c r="J80" s="47">
        <f>MasterMaterials!J83</f>
        <v>1379</v>
      </c>
      <c r="K80" s="45" t="str">
        <f>MasterMaterials!K83</f>
        <v/>
      </c>
      <c r="L80" s="50" t="str">
        <f>MasterMaterials!L83</f>
        <v/>
      </c>
      <c r="M80" s="45" t="str">
        <f>MasterMaterials!M83</f>
        <v/>
      </c>
      <c r="N80" s="45" t="str">
        <f>MasterMaterials!N83</f>
        <v/>
      </c>
      <c r="O80" s="48">
        <f>MasterMaterials!O83</f>
        <v>45988</v>
      </c>
    </row>
    <row r="81">
      <c r="A81" s="45" t="str">
        <f>MasterMaterials!A84</f>
        <v>Douglas Fir, 6', ea</v>
      </c>
      <c r="B81" s="45" t="str">
        <f>MasterMaterials!B84</f>
        <v>LMN44279620</v>
      </c>
      <c r="C81" s="45" t="str">
        <f>MasterMaterials!C84</f>
        <v>H</v>
      </c>
      <c r="D81" s="45" t="str">
        <f>MasterMaterials!D84</f>
        <v/>
      </c>
      <c r="E81" s="45" t="str">
        <f>MasterMaterials!E84</f>
        <v>Douglas Fir, 6', ea</v>
      </c>
      <c r="F81" s="45" t="str">
        <f>MasterMaterials!F84</f>
        <v/>
      </c>
      <c r="G81" s="45" t="str">
        <f>MasterMaterials!G84</f>
        <v>ea</v>
      </c>
      <c r="H81" s="45">
        <f>MasterMaterials!H84</f>
        <v>0</v>
      </c>
      <c r="I81" s="46">
        <f>MasterMaterials!I84</f>
        <v>345</v>
      </c>
      <c r="J81" s="47">
        <f>MasterMaterials!J84</f>
        <v>576.67</v>
      </c>
      <c r="K81" s="45" t="str">
        <f>MasterMaterials!K84</f>
        <v/>
      </c>
      <c r="L81" s="45" t="str">
        <f>MasterMaterials!L84</f>
        <v/>
      </c>
      <c r="M81" s="45" t="str">
        <f>MasterMaterials!M84</f>
        <v/>
      </c>
      <c r="N81" s="45" t="str">
        <f>MasterMaterials!N84</f>
        <v/>
      </c>
      <c r="O81" s="48">
        <f>MasterMaterials!O84</f>
        <v>45988</v>
      </c>
    </row>
    <row r="82">
      <c r="A82" s="45" t="str">
        <f>MasterMaterials!A85</f>
        <v>Douglas Fir, 7', ea</v>
      </c>
      <c r="B82" s="45" t="str">
        <f>MasterMaterials!B85</f>
        <v>LMN44279617</v>
      </c>
      <c r="C82" s="45" t="str">
        <f>MasterMaterials!C85</f>
        <v>H</v>
      </c>
      <c r="D82" s="45" t="str">
        <f>MasterMaterials!D85</f>
        <v/>
      </c>
      <c r="E82" s="45" t="str">
        <f>MasterMaterials!E85</f>
        <v>Douglas Fir, 7', ea</v>
      </c>
      <c r="F82" s="45" t="str">
        <f>MasterMaterials!F85</f>
        <v/>
      </c>
      <c r="G82" s="45" t="str">
        <f>MasterMaterials!G85</f>
        <v>ea</v>
      </c>
      <c r="H82" s="45">
        <f>MasterMaterials!H85</f>
        <v>0</v>
      </c>
      <c r="I82" s="46">
        <f>MasterMaterials!I85</f>
        <v>375</v>
      </c>
      <c r="J82" s="47">
        <f>MasterMaterials!J85</f>
        <v>626.82</v>
      </c>
      <c r="K82" s="45" t="str">
        <f>MasterMaterials!K85</f>
        <v/>
      </c>
      <c r="L82" s="45" t="str">
        <f>MasterMaterials!L85</f>
        <v/>
      </c>
      <c r="M82" s="45" t="str">
        <f>MasterMaterials!M85</f>
        <v/>
      </c>
      <c r="N82" s="45" t="str">
        <f>MasterMaterials!N85</f>
        <v/>
      </c>
      <c r="O82" s="49">
        <f>MasterMaterials!O85</f>
        <v>45988</v>
      </c>
    </row>
    <row r="83">
      <c r="A83" s="45" t="str">
        <f>MasterMaterials!A86</f>
        <v>Douglas Fir, 8', ea</v>
      </c>
      <c r="B83" s="45" t="str">
        <f>MasterMaterials!B86</f>
        <v>LMN44279455</v>
      </c>
      <c r="C83" s="45" t="str">
        <f>MasterMaterials!C86</f>
        <v>H</v>
      </c>
      <c r="D83" s="45" t="str">
        <f>MasterMaterials!D86</f>
        <v/>
      </c>
      <c r="E83" s="45" t="str">
        <f>MasterMaterials!E86</f>
        <v>Douglas Fir, 8', ea</v>
      </c>
      <c r="F83" s="45" t="str">
        <f>MasterMaterials!F86</f>
        <v/>
      </c>
      <c r="G83" s="45" t="str">
        <f>MasterMaterials!G86</f>
        <v>ea</v>
      </c>
      <c r="H83" s="45">
        <f>MasterMaterials!H86</f>
        <v>0</v>
      </c>
      <c r="I83" s="46">
        <f>MasterMaterials!I86</f>
        <v>445</v>
      </c>
      <c r="J83" s="47">
        <f>MasterMaterials!J86</f>
        <v>743.82</v>
      </c>
      <c r="K83" s="45" t="str">
        <f>MasterMaterials!K86</f>
        <v/>
      </c>
      <c r="L83" s="45" t="str">
        <f>MasterMaterials!L86</f>
        <v/>
      </c>
      <c r="M83" s="45" t="str">
        <f>MasterMaterials!M86</f>
        <v/>
      </c>
      <c r="N83" s="45" t="str">
        <f>MasterMaterials!N86</f>
        <v/>
      </c>
      <c r="O83" s="48">
        <f>MasterMaterials!O86</f>
        <v>45988</v>
      </c>
    </row>
    <row r="84">
      <c r="A84" s="45" t="str">
        <f>MasterMaterials!A87</f>
        <v>Douglas Fir, 9', ea</v>
      </c>
      <c r="B84" s="45" t="str">
        <f>MasterMaterials!B87</f>
        <v>LMN44279460</v>
      </c>
      <c r="C84" s="45" t="str">
        <f>MasterMaterials!C87</f>
        <v>H</v>
      </c>
      <c r="D84" s="45" t="str">
        <f>MasterMaterials!D87</f>
        <v/>
      </c>
      <c r="E84" s="45" t="str">
        <f>MasterMaterials!E87</f>
        <v>Douglas Fir, 9', ea</v>
      </c>
      <c r="F84" s="45" t="str">
        <f>MasterMaterials!F87</f>
        <v/>
      </c>
      <c r="G84" s="45" t="str">
        <f>MasterMaterials!G87</f>
        <v>ea</v>
      </c>
      <c r="H84" s="45">
        <f>MasterMaterials!H87</f>
        <v>0</v>
      </c>
      <c r="I84" s="46">
        <f>MasterMaterials!I87</f>
        <v>675</v>
      </c>
      <c r="J84" s="47">
        <f>MasterMaterials!J87</f>
        <v>1128.27</v>
      </c>
      <c r="K84" s="45" t="str">
        <f>MasterMaterials!K87</f>
        <v/>
      </c>
      <c r="L84" s="45" t="str">
        <f>MasterMaterials!L87</f>
        <v/>
      </c>
      <c r="M84" s="45" t="str">
        <f>MasterMaterials!M87</f>
        <v/>
      </c>
      <c r="N84" s="45" t="str">
        <f>MasterMaterials!N87</f>
        <v/>
      </c>
      <c r="O84" s="48">
        <f>MasterMaterials!O87</f>
        <v>45988</v>
      </c>
    </row>
    <row r="85">
      <c r="A85" s="45" t="str">
        <f>MasterMaterials!A88</f>
        <v>Drip Emitter, ea</v>
      </c>
      <c r="B85" s="45" t="str">
        <f>MasterMaterials!B88</f>
        <v>LMN40150668</v>
      </c>
      <c r="C85" s="45" t="str">
        <f>MasterMaterials!C88</f>
        <v>H</v>
      </c>
      <c r="D85" s="45" t="str">
        <f>MasterMaterials!D88</f>
        <v/>
      </c>
      <c r="E85" s="45" t="str">
        <f>MasterMaterials!E88</f>
        <v>Drip Emitter, ea</v>
      </c>
      <c r="F85" s="45" t="str">
        <f>MasterMaterials!F88</f>
        <v/>
      </c>
      <c r="G85" s="45" t="str">
        <f>MasterMaterials!G88</f>
        <v>ea</v>
      </c>
      <c r="H85" s="45">
        <f>MasterMaterials!H88</f>
        <v>0</v>
      </c>
      <c r="I85" s="46">
        <f>MasterMaterials!I88</f>
        <v>0.3</v>
      </c>
      <c r="J85" s="47">
        <f>MasterMaterials!J88</f>
        <v>0.61</v>
      </c>
      <c r="K85" s="45" t="str">
        <f>MasterMaterials!K88</f>
        <v/>
      </c>
      <c r="L85" s="45" t="str">
        <f>MasterMaterials!L88</f>
        <v/>
      </c>
      <c r="M85" s="45" t="str">
        <f>MasterMaterials!M88</f>
        <v/>
      </c>
      <c r="N85" s="45" t="str">
        <f>MasterMaterials!N88</f>
        <v/>
      </c>
      <c r="O85" s="48">
        <f>MasterMaterials!O88</f>
        <v>45989</v>
      </c>
    </row>
    <row r="86">
      <c r="A86" s="45" t="str">
        <f>MasterMaterials!A89</f>
        <v>Dump Fee Big Sky, ea</v>
      </c>
      <c r="B86" s="45" t="str">
        <f>MasterMaterials!B89</f>
        <v>LMN49034492</v>
      </c>
      <c r="C86" s="45" t="str">
        <f>MasterMaterials!C89</f>
        <v/>
      </c>
      <c r="D86" s="45" t="str">
        <f>MasterMaterials!D89</f>
        <v/>
      </c>
      <c r="E86" s="45" t="str">
        <f>MasterMaterials!E89</f>
        <v>Debris Dump Fee Big Sky, ea</v>
      </c>
      <c r="F86" s="45" t="str">
        <f>MasterMaterials!F89</f>
        <v/>
      </c>
      <c r="G86" s="45" t="str">
        <f>MasterMaterials!G89</f>
        <v>ea</v>
      </c>
      <c r="H86" s="45" t="str">
        <f>MasterMaterials!H89</f>
        <v/>
      </c>
      <c r="I86" s="46">
        <f>MasterMaterials!I89</f>
        <v>35</v>
      </c>
      <c r="J86" s="47">
        <f>MasterMaterials!J89</f>
        <v>55</v>
      </c>
      <c r="K86" s="45" t="str">
        <f>MasterMaterials!K89</f>
        <v/>
      </c>
      <c r="L86" s="45" t="str">
        <f>MasterMaterials!L89</f>
        <v/>
      </c>
      <c r="M86" s="45" t="str">
        <f>MasterMaterials!M89</f>
        <v/>
      </c>
      <c r="N86" s="45" t="str">
        <f>MasterMaterials!N89</f>
        <v/>
      </c>
      <c r="O86" s="49" t="str">
        <f>MasterMaterials!O89</f>
        <v/>
      </c>
    </row>
    <row r="87">
      <c r="A87" s="45" t="str">
        <f>MasterMaterials!A90</f>
        <v>Dump Fee Bozeman, ea</v>
      </c>
      <c r="B87" s="45" t="str">
        <f>MasterMaterials!B90</f>
        <v>NEW011</v>
      </c>
      <c r="C87" s="45" t="str">
        <f>MasterMaterials!C90</f>
        <v>H</v>
      </c>
      <c r="D87" s="45" t="str">
        <f>MasterMaterials!D90</f>
        <v/>
      </c>
      <c r="E87" s="45" t="str">
        <f>MasterMaterials!E90</f>
        <v>Debris Dump Fee Bozeman, ea</v>
      </c>
      <c r="F87" s="45" t="str">
        <f>MasterMaterials!F90</f>
        <v/>
      </c>
      <c r="G87" s="45" t="str">
        <f>MasterMaterials!G90</f>
        <v>ea</v>
      </c>
      <c r="H87" s="45">
        <f>MasterMaterials!H90</f>
        <v>0</v>
      </c>
      <c r="I87" s="46">
        <f>MasterMaterials!I90</f>
        <v>35</v>
      </c>
      <c r="J87" s="47">
        <f>MasterMaterials!J90</f>
        <v>55</v>
      </c>
      <c r="K87" s="45" t="str">
        <f>MasterMaterials!K90</f>
        <v>Y</v>
      </c>
      <c r="L87" s="45" t="str">
        <f>MasterMaterials!L90</f>
        <v/>
      </c>
      <c r="M87" s="45" t="str">
        <f>MasterMaterials!M90</f>
        <v/>
      </c>
      <c r="N87" s="45" t="str">
        <f>MasterMaterials!N90</f>
        <v/>
      </c>
      <c r="O87" s="49">
        <f>MasterMaterials!O90</f>
        <v>45988</v>
      </c>
    </row>
    <row r="88">
      <c r="A88" s="45" t="str">
        <f>MasterMaterials!A91</f>
        <v>Edging, Aluminium, ft</v>
      </c>
      <c r="B88" s="45" t="str">
        <f>MasterMaterials!B91</f>
        <v>LMN40150742</v>
      </c>
      <c r="C88" s="45" t="str">
        <f>MasterMaterials!C91</f>
        <v>H</v>
      </c>
      <c r="D88" s="45" t="str">
        <f>MasterMaterials!D91</f>
        <v/>
      </c>
      <c r="E88" s="45" t="str">
        <f>MasterMaterials!E91</f>
        <v>Edging, Aluminium, ft</v>
      </c>
      <c r="F88" s="45" t="str">
        <f>MasterMaterials!F91</f>
        <v/>
      </c>
      <c r="G88" s="45" t="str">
        <f>MasterMaterials!G91</f>
        <v>ft</v>
      </c>
      <c r="H88" s="45">
        <f>MasterMaterials!H91</f>
        <v>0</v>
      </c>
      <c r="I88" s="46">
        <f>MasterMaterials!I91</f>
        <v>2.09</v>
      </c>
      <c r="J88" s="47">
        <f>MasterMaterials!J91</f>
        <v>4.69</v>
      </c>
      <c r="K88" s="45" t="str">
        <f>MasterMaterials!K91</f>
        <v/>
      </c>
      <c r="L88" s="50">
        <f>MasterMaterials!L91</f>
        <v>0.31</v>
      </c>
      <c r="M88" s="45" t="str">
        <f>MasterMaterials!M91</f>
        <v/>
      </c>
      <c r="N88" s="45" t="str">
        <f>MasterMaterials!N91</f>
        <v/>
      </c>
      <c r="O88" s="49">
        <f>MasterMaterials!O91</f>
        <v>45989</v>
      </c>
    </row>
    <row r="89">
      <c r="A89" s="45" t="str">
        <f>MasterMaterials!A92</f>
        <v>Edging, Aluminum Edging Corners, ea</v>
      </c>
      <c r="B89" s="45" t="str">
        <f>MasterMaterials!B92</f>
        <v>LMN45549103</v>
      </c>
      <c r="C89" s="45" t="str">
        <f>MasterMaterials!C92</f>
        <v>H</v>
      </c>
      <c r="D89" s="45" t="str">
        <f>MasterMaterials!D92</f>
        <v/>
      </c>
      <c r="E89" s="45" t="str">
        <f>MasterMaterials!E92</f>
        <v>Aluminum Edging Corners, ea</v>
      </c>
      <c r="F89" s="45" t="str">
        <f>MasterMaterials!F92</f>
        <v/>
      </c>
      <c r="G89" s="45" t="str">
        <f>MasterMaterials!G92</f>
        <v>ea</v>
      </c>
      <c r="H89" s="45">
        <f>MasterMaterials!H92</f>
        <v>0</v>
      </c>
      <c r="I89" s="46">
        <f>MasterMaterials!I92</f>
        <v>12</v>
      </c>
      <c r="J89" s="47">
        <f>MasterMaterials!J92</f>
        <v>20.06</v>
      </c>
      <c r="K89" s="45" t="str">
        <f>MasterMaterials!K92</f>
        <v/>
      </c>
      <c r="L89" s="45" t="str">
        <f>MasterMaterials!L92</f>
        <v/>
      </c>
      <c r="M89" s="45" t="str">
        <f>MasterMaterials!M92</f>
        <v/>
      </c>
      <c r="N89" s="45" t="str">
        <f>MasterMaterials!N92</f>
        <v/>
      </c>
      <c r="O89" s="49">
        <f>MasterMaterials!O92</f>
        <v>45988</v>
      </c>
    </row>
    <row r="90">
      <c r="A90" s="45" t="str">
        <f>MasterMaterials!A93</f>
        <v>Edging, Plastic, ea</v>
      </c>
      <c r="B90" s="45" t="str">
        <f>MasterMaterials!B93</f>
        <v>NEW012</v>
      </c>
      <c r="C90" s="45" t="str">
        <f>MasterMaterials!C93</f>
        <v>H</v>
      </c>
      <c r="D90" s="45" t="str">
        <f>MasterMaterials!D93</f>
        <v/>
      </c>
      <c r="E90" s="45" t="str">
        <f>MasterMaterials!E93</f>
        <v>Edging, Plastic, ea</v>
      </c>
      <c r="F90" s="45" t="str">
        <f>MasterMaterials!F93</f>
        <v/>
      </c>
      <c r="G90" s="45" t="str">
        <f>MasterMaterials!G93</f>
        <v>ea</v>
      </c>
      <c r="H90" s="45">
        <f>MasterMaterials!H93</f>
        <v>0</v>
      </c>
      <c r="I90" s="46">
        <f>MasterMaterials!I93</f>
        <v>14.75</v>
      </c>
      <c r="J90" s="47">
        <f>MasterMaterials!J93</f>
        <v>21</v>
      </c>
      <c r="K90" s="45" t="str">
        <f>MasterMaterials!K93</f>
        <v>Y</v>
      </c>
      <c r="L90" s="45" t="str">
        <f>MasterMaterials!L93</f>
        <v/>
      </c>
      <c r="M90" s="45" t="str">
        <f>MasterMaterials!M93</f>
        <v/>
      </c>
      <c r="N90" s="45" t="str">
        <f>MasterMaterials!N93</f>
        <v/>
      </c>
      <c r="O90" s="48">
        <f>MasterMaterials!O93</f>
        <v>45989</v>
      </c>
    </row>
    <row r="91">
      <c r="A91" s="45" t="str">
        <f>MasterMaterials!A94</f>
        <v>Edging, Steel 5" x 1/4", ft</v>
      </c>
      <c r="B91" s="45" t="str">
        <f>MasterMaterials!B94</f>
        <v>LMN40150741</v>
      </c>
      <c r="C91" s="45" t="str">
        <f>MasterMaterials!C94</f>
        <v>H</v>
      </c>
      <c r="D91" s="45" t="str">
        <f>MasterMaterials!D94</f>
        <v/>
      </c>
      <c r="E91" s="45" t="str">
        <f>MasterMaterials!E94</f>
        <v>Edging, Steel 5" x 1/4", ft</v>
      </c>
      <c r="F91" s="45" t="str">
        <f>MasterMaterials!F94</f>
        <v/>
      </c>
      <c r="G91" s="45" t="str">
        <f>MasterMaterials!G94</f>
        <v>ft</v>
      </c>
      <c r="H91" s="45">
        <f>MasterMaterials!H94</f>
        <v>0</v>
      </c>
      <c r="I91" s="46">
        <f>MasterMaterials!I94</f>
        <v>5.04</v>
      </c>
      <c r="J91" s="47">
        <f>MasterMaterials!J94</f>
        <v>8.42</v>
      </c>
      <c r="K91" s="45" t="str">
        <f>MasterMaterials!K94</f>
        <v/>
      </c>
      <c r="L91" s="45" t="str">
        <f>MasterMaterials!L94</f>
        <v/>
      </c>
      <c r="M91" s="45" t="str">
        <f>MasterMaterials!M94</f>
        <v/>
      </c>
      <c r="N91" s="45" t="str">
        <f>MasterMaterials!N94</f>
        <v/>
      </c>
      <c r="O91" s="48">
        <f>MasterMaterials!O94</f>
        <v>45988</v>
      </c>
    </row>
    <row r="92">
      <c r="A92" s="45" t="str">
        <f>MasterMaterials!A95</f>
        <v>Edging, Steel 5" x 3/16", ft</v>
      </c>
      <c r="B92" s="45" t="str">
        <f>MasterMaterials!B95</f>
        <v>LMN40150740</v>
      </c>
      <c r="C92" s="45" t="str">
        <f>MasterMaterials!C95</f>
        <v>H</v>
      </c>
      <c r="D92" s="45" t="str">
        <f>MasterMaterials!D95</f>
        <v/>
      </c>
      <c r="E92" s="45" t="str">
        <f>MasterMaterials!E95</f>
        <v>Edging, Steel 5" x 3/16", ft</v>
      </c>
      <c r="F92" s="45" t="str">
        <f>MasterMaterials!F95</f>
        <v/>
      </c>
      <c r="G92" s="45" t="str">
        <f>MasterMaterials!G95</f>
        <v>ft</v>
      </c>
      <c r="H92" s="45">
        <f>MasterMaterials!H95</f>
        <v>0</v>
      </c>
      <c r="I92" s="46">
        <f>MasterMaterials!I95</f>
        <v>4.07</v>
      </c>
      <c r="J92" s="47">
        <f>MasterMaterials!J95</f>
        <v>6.8</v>
      </c>
      <c r="K92" s="45" t="str">
        <f>MasterMaterials!K95</f>
        <v/>
      </c>
      <c r="L92" s="45" t="str">
        <f>MasterMaterials!L95</f>
        <v/>
      </c>
      <c r="M92" s="45" t="str">
        <f>MasterMaterials!M95</f>
        <v/>
      </c>
      <c r="N92" s="45" t="str">
        <f>MasterMaterials!N95</f>
        <v/>
      </c>
      <c r="O92" s="48">
        <f>MasterMaterials!O95</f>
        <v>45988</v>
      </c>
    </row>
    <row r="93">
      <c r="A93" s="45" t="str">
        <f>MasterMaterials!A96</f>
        <v>Erosion Control Blanket, straw, sf</v>
      </c>
      <c r="B93" s="45" t="str">
        <f>MasterMaterials!B96</f>
        <v>LMN40150795</v>
      </c>
      <c r="C93" s="45" t="str">
        <f>MasterMaterials!C96</f>
        <v>H</v>
      </c>
      <c r="D93" s="45" t="str">
        <f>MasterMaterials!D96</f>
        <v/>
      </c>
      <c r="E93" s="45" t="str">
        <f>MasterMaterials!E96</f>
        <v>Erosion Control Blanket, straw, sf</v>
      </c>
      <c r="F93" s="45" t="str">
        <f>MasterMaterials!F96</f>
        <v/>
      </c>
      <c r="G93" s="45" t="str">
        <f>MasterMaterials!G96</f>
        <v>sf</v>
      </c>
      <c r="H93" s="45">
        <f>MasterMaterials!H96</f>
        <v>0</v>
      </c>
      <c r="I93" s="46">
        <f>MasterMaterials!I96</f>
        <v>0.33</v>
      </c>
      <c r="J93" s="47">
        <f>MasterMaterials!J96</f>
        <v>0.37</v>
      </c>
      <c r="K93" s="45" t="str">
        <f>MasterMaterials!K96</f>
        <v/>
      </c>
      <c r="L93" s="45" t="str">
        <f>MasterMaterials!L96</f>
        <v/>
      </c>
      <c r="M93" s="45" t="str">
        <f>MasterMaterials!M96</f>
        <v/>
      </c>
      <c r="N93" s="45" t="str">
        <f>MasterMaterials!N96</f>
        <v/>
      </c>
      <c r="O93" s="48">
        <f>MasterMaterials!O96</f>
        <v>45989</v>
      </c>
    </row>
    <row r="94">
      <c r="A94" s="45" t="str">
        <f>MasterMaterials!A97</f>
        <v>Fertilizer, Bagged, ea</v>
      </c>
      <c r="B94" s="45" t="str">
        <f>MasterMaterials!B97</f>
        <v>LMN40150793</v>
      </c>
      <c r="C94" s="45" t="str">
        <f>MasterMaterials!C97</f>
        <v>H</v>
      </c>
      <c r="D94" s="45" t="str">
        <f>MasterMaterials!D97</f>
        <v/>
      </c>
      <c r="E94" s="45" t="str">
        <f>MasterMaterials!E97</f>
        <v>Fertilizer, Bagged, ea</v>
      </c>
      <c r="F94" s="45" t="str">
        <f>MasterMaterials!F97</f>
        <v/>
      </c>
      <c r="G94" s="45" t="str">
        <f>MasterMaterials!G97</f>
        <v>ea</v>
      </c>
      <c r="H94" s="45">
        <f>MasterMaterials!H97</f>
        <v>0</v>
      </c>
      <c r="I94" s="46">
        <f>MasterMaterials!I97</f>
        <v>34.82</v>
      </c>
      <c r="J94" s="47">
        <f>MasterMaterials!J97</f>
        <v>55</v>
      </c>
      <c r="K94" s="45" t="str">
        <f>MasterMaterials!K97</f>
        <v>Y</v>
      </c>
      <c r="L94" s="45" t="str">
        <f>MasterMaterials!L97</f>
        <v/>
      </c>
      <c r="M94" s="45" t="str">
        <f>MasterMaterials!M97</f>
        <v/>
      </c>
      <c r="N94" s="45" t="str">
        <f>MasterMaterials!N97</f>
        <v/>
      </c>
      <c r="O94" s="48">
        <f>MasterMaterials!O97</f>
        <v>45989</v>
      </c>
    </row>
    <row r="95">
      <c r="A95" s="45" t="str">
        <f>MasterMaterials!A98</f>
        <v>Fertilizer, Liquid, ea</v>
      </c>
      <c r="B95" s="45" t="str">
        <f>MasterMaterials!B98</f>
        <v>NEW013</v>
      </c>
      <c r="C95" s="45" t="str">
        <f>MasterMaterials!C98</f>
        <v>H</v>
      </c>
      <c r="D95" s="45" t="str">
        <f>MasterMaterials!D98</f>
        <v/>
      </c>
      <c r="E95" s="45" t="str">
        <f>MasterMaterials!E98</f>
        <v>Fertilizer, Liquid, ea</v>
      </c>
      <c r="F95" s="45" t="str">
        <f>MasterMaterials!F98</f>
        <v/>
      </c>
      <c r="G95" s="45" t="str">
        <f>MasterMaterials!G98</f>
        <v>ea</v>
      </c>
      <c r="H95" s="45">
        <f>MasterMaterials!H98</f>
        <v>0</v>
      </c>
      <c r="I95" s="46">
        <f>MasterMaterials!I98</f>
        <v>7</v>
      </c>
      <c r="J95" s="47">
        <f>MasterMaterials!J98</f>
        <v>7</v>
      </c>
      <c r="K95" s="45" t="str">
        <f>MasterMaterials!K98</f>
        <v>Y</v>
      </c>
      <c r="L95" s="45" t="str">
        <f>MasterMaterials!L98</f>
        <v/>
      </c>
      <c r="M95" s="45" t="str">
        <f>MasterMaterials!M98</f>
        <v/>
      </c>
      <c r="N95" s="45" t="str">
        <f>MasterMaterials!N98</f>
        <v/>
      </c>
      <c r="O95" s="48">
        <f>MasterMaterials!O98</f>
        <v>45988</v>
      </c>
    </row>
    <row r="96">
      <c r="A96" s="45" t="str">
        <f>MasterMaterials!A99</f>
        <v>Fertilizer, Spikes, ea</v>
      </c>
      <c r="B96" s="45" t="str">
        <f>MasterMaterials!B99</f>
        <v>NEW014</v>
      </c>
      <c r="C96" s="45" t="str">
        <f>MasterMaterials!C99</f>
        <v>H</v>
      </c>
      <c r="D96" s="45" t="str">
        <f>MasterMaterials!D99</f>
        <v/>
      </c>
      <c r="E96" s="45" t="str">
        <f>MasterMaterials!E99</f>
        <v>Fertilizer, Spikes, ea</v>
      </c>
      <c r="F96" s="45" t="str">
        <f>MasterMaterials!F99</f>
        <v/>
      </c>
      <c r="G96" s="45" t="str">
        <f>MasterMaterials!G99</f>
        <v>ea</v>
      </c>
      <c r="H96" s="45">
        <f>MasterMaterials!H99</f>
        <v>0</v>
      </c>
      <c r="I96" s="46">
        <f>MasterMaterials!I99</f>
        <v>1.75</v>
      </c>
      <c r="J96" s="47">
        <f>MasterMaterials!J99</f>
        <v>1.75</v>
      </c>
      <c r="K96" s="45" t="str">
        <f>MasterMaterials!K99</f>
        <v>Y</v>
      </c>
      <c r="L96" s="45" t="str">
        <f>MasterMaterials!L99</f>
        <v/>
      </c>
      <c r="M96" s="45" t="str">
        <f>MasterMaterials!M99</f>
        <v/>
      </c>
      <c r="N96" s="45" t="str">
        <f>MasterMaterials!N99</f>
        <v/>
      </c>
      <c r="O96" s="48">
        <f>MasterMaterials!O99</f>
        <v>45988</v>
      </c>
    </row>
    <row r="97">
      <c r="A97" s="45" t="str">
        <f>MasterMaterials!A100</f>
        <v>Filter Fabric, sf</v>
      </c>
      <c r="B97" s="45" t="str">
        <f>MasterMaterials!B100</f>
        <v>LMN40150729</v>
      </c>
      <c r="C97" s="45" t="str">
        <f>MasterMaterials!C100</f>
        <v>H</v>
      </c>
      <c r="D97" s="45" t="str">
        <f>MasterMaterials!D100</f>
        <v/>
      </c>
      <c r="E97" s="45" t="str">
        <f>MasterMaterials!E100</f>
        <v>Filter Fabric, sf</v>
      </c>
      <c r="F97" s="45" t="str">
        <f>MasterMaterials!F100</f>
        <v/>
      </c>
      <c r="G97" s="45" t="str">
        <f>MasterMaterials!G100</f>
        <v>sf</v>
      </c>
      <c r="H97" s="45">
        <f>MasterMaterials!H100</f>
        <v>0</v>
      </c>
      <c r="I97" s="46">
        <f>MasterMaterials!I100</f>
        <v>0.32</v>
      </c>
      <c r="J97" s="47">
        <f>MasterMaterials!J100</f>
        <v>0.45</v>
      </c>
      <c r="K97" s="45" t="str">
        <f>MasterMaterials!K100</f>
        <v>Y</v>
      </c>
      <c r="L97" s="45" t="str">
        <f>MasterMaterials!L100</f>
        <v/>
      </c>
      <c r="M97" s="45" t="str">
        <f>MasterMaterials!M100</f>
        <v/>
      </c>
      <c r="N97" s="45" t="str">
        <f>MasterMaterials!N100</f>
        <v/>
      </c>
      <c r="O97" s="48">
        <f>MasterMaterials!O100</f>
        <v>45988</v>
      </c>
    </row>
    <row r="98">
      <c r="A98" s="45" t="str">
        <f>MasterMaterials!A101</f>
        <v>Flagstone, Dimensional Bluestone, sf</v>
      </c>
      <c r="B98" s="45" t="str">
        <f>MasterMaterials!B101</f>
        <v>LMN40150713</v>
      </c>
      <c r="C98" s="45" t="str">
        <f>MasterMaterials!C101</f>
        <v>H</v>
      </c>
      <c r="D98" s="45" t="str">
        <f>MasterMaterials!D101</f>
        <v/>
      </c>
      <c r="E98" s="45" t="str">
        <f>MasterMaterials!E101</f>
        <v>Flagstone, Dimensional Bluestone, sf</v>
      </c>
      <c r="F98" s="45" t="str">
        <f>MasterMaterials!F101</f>
        <v/>
      </c>
      <c r="G98" s="45" t="str">
        <f>MasterMaterials!G101</f>
        <v>sf</v>
      </c>
      <c r="H98" s="45">
        <f>MasterMaterials!H101</f>
        <v>0</v>
      </c>
      <c r="I98" s="46">
        <f>MasterMaterials!I101</f>
        <v>12.5</v>
      </c>
      <c r="J98" s="47">
        <f>MasterMaterials!J101</f>
        <v>20.89</v>
      </c>
      <c r="K98" s="45" t="str">
        <f>MasterMaterials!K101</f>
        <v/>
      </c>
      <c r="L98" s="45" t="str">
        <f>MasterMaterials!L101</f>
        <v/>
      </c>
      <c r="M98" s="45" t="str">
        <f>MasterMaterials!M101</f>
        <v/>
      </c>
      <c r="N98" s="45" t="str">
        <f>MasterMaterials!N101</f>
        <v/>
      </c>
      <c r="O98" s="48">
        <f>MasterMaterials!O101</f>
        <v>45988</v>
      </c>
    </row>
    <row r="99">
      <c r="A99" s="45" t="str">
        <f>MasterMaterials!A102</f>
        <v>Flagstone, Frontier, ton</v>
      </c>
      <c r="B99" s="45" t="str">
        <f>MasterMaterials!B102</f>
        <v>LMN40150710</v>
      </c>
      <c r="C99" s="45" t="str">
        <f>MasterMaterials!C102</f>
        <v>H</v>
      </c>
      <c r="D99" s="45" t="str">
        <f>MasterMaterials!D102</f>
        <v/>
      </c>
      <c r="E99" s="45" t="str">
        <f>MasterMaterials!E102</f>
        <v>Flagstone, Frontier, ton</v>
      </c>
      <c r="F99" s="45" t="str">
        <f>MasterMaterials!F102</f>
        <v/>
      </c>
      <c r="G99" s="45" t="str">
        <f>MasterMaterials!G102</f>
        <v>ton</v>
      </c>
      <c r="H99" s="45">
        <f>MasterMaterials!H102</f>
        <v>0</v>
      </c>
      <c r="I99" s="46">
        <f>MasterMaterials!I102</f>
        <v>700</v>
      </c>
      <c r="J99" s="47">
        <f>MasterMaterials!J102</f>
        <v>805</v>
      </c>
      <c r="K99" s="45" t="str">
        <f>MasterMaterials!K102</f>
        <v/>
      </c>
      <c r="L99" s="45" t="str">
        <f>MasterMaterials!L102</f>
        <v/>
      </c>
      <c r="M99" s="45" t="str">
        <f>MasterMaterials!M102</f>
        <v/>
      </c>
      <c r="N99" s="45" t="str">
        <f>MasterMaterials!N102</f>
        <v/>
      </c>
      <c r="O99" s="49">
        <f>MasterMaterials!O102</f>
        <v>45988</v>
      </c>
    </row>
    <row r="100">
      <c r="A100" s="45" t="str">
        <f>MasterMaterials!A103</f>
        <v>Flagstone, Mohave, ton</v>
      </c>
      <c r="B100" s="45" t="str">
        <f>MasterMaterials!B103</f>
        <v>LMN40150712</v>
      </c>
      <c r="C100" s="45" t="str">
        <f>MasterMaterials!C103</f>
        <v>H</v>
      </c>
      <c r="D100" s="45" t="str">
        <f>MasterMaterials!D103</f>
        <v/>
      </c>
      <c r="E100" s="45" t="str">
        <f>MasterMaterials!E103</f>
        <v>Flagstone, Mohave, ton</v>
      </c>
      <c r="F100" s="45" t="str">
        <f>MasterMaterials!F103</f>
        <v/>
      </c>
      <c r="G100" s="45" t="str">
        <f>MasterMaterials!G103</f>
        <v>ton</v>
      </c>
      <c r="H100" s="45">
        <f>MasterMaterials!H103</f>
        <v>0</v>
      </c>
      <c r="I100" s="46">
        <f>MasterMaterials!I103</f>
        <v>950</v>
      </c>
      <c r="J100" s="47">
        <f>MasterMaterials!J103</f>
        <v>1092</v>
      </c>
      <c r="K100" s="45" t="str">
        <f>MasterMaterials!K103</f>
        <v/>
      </c>
      <c r="L100" s="45" t="str">
        <f>MasterMaterials!L103</f>
        <v/>
      </c>
      <c r="M100" s="45" t="str">
        <f>MasterMaterials!M103</f>
        <v/>
      </c>
      <c r="N100" s="45" t="str">
        <f>MasterMaterials!N103</f>
        <v/>
      </c>
      <c r="O100" s="49">
        <f>MasterMaterials!O103</f>
        <v>45988</v>
      </c>
    </row>
    <row r="101">
      <c r="A101" s="45" t="str">
        <f>MasterMaterials!A104</f>
        <v>Flagstone, Windsor Grey, ton</v>
      </c>
      <c r="B101" s="45" t="str">
        <f>MasterMaterials!B104</f>
        <v>LMN40150711</v>
      </c>
      <c r="C101" s="45" t="str">
        <f>MasterMaterials!C104</f>
        <v>H</v>
      </c>
      <c r="D101" s="45" t="str">
        <f>MasterMaterials!D104</f>
        <v/>
      </c>
      <c r="E101" s="45" t="str">
        <f>MasterMaterials!E104</f>
        <v>Flagstone, Windsor Grey, ton</v>
      </c>
      <c r="F101" s="45" t="str">
        <f>MasterMaterials!F104</f>
        <v/>
      </c>
      <c r="G101" s="45" t="str">
        <f>MasterMaterials!G104</f>
        <v>ton</v>
      </c>
      <c r="H101" s="45">
        <f>MasterMaterials!H104</f>
        <v>0</v>
      </c>
      <c r="I101" s="46">
        <f>MasterMaterials!I104</f>
        <v>600</v>
      </c>
      <c r="J101" s="47">
        <f>MasterMaterials!J104</f>
        <v>690</v>
      </c>
      <c r="K101" s="45" t="str">
        <f>MasterMaterials!K104</f>
        <v/>
      </c>
      <c r="L101" s="45" t="str">
        <f>MasterMaterials!L104</f>
        <v/>
      </c>
      <c r="M101" s="45" t="str">
        <f>MasterMaterials!M104</f>
        <v/>
      </c>
      <c r="N101" s="45" t="str">
        <f>MasterMaterials!N104</f>
        <v/>
      </c>
      <c r="O101" s="48">
        <f>MasterMaterials!O104</f>
        <v>45988</v>
      </c>
    </row>
    <row r="102">
      <c r="A102" s="45" t="str">
        <f>MasterMaterials!A105</f>
        <v>Gravel, 3/4"- 2", yd</v>
      </c>
      <c r="B102" s="45" t="str">
        <f>MasterMaterials!B105</f>
        <v>LMN40150723</v>
      </c>
      <c r="C102" s="45" t="str">
        <f>MasterMaterials!C105</f>
        <v>H</v>
      </c>
      <c r="D102" s="45" t="str">
        <f>MasterMaterials!D105</f>
        <v/>
      </c>
      <c r="E102" s="45" t="str">
        <f>MasterMaterials!E105</f>
        <v>Stone, 3/4" crushed/2" round sewer, yd</v>
      </c>
      <c r="F102" s="45" t="str">
        <f>MasterMaterials!F105</f>
        <v/>
      </c>
      <c r="G102" s="45" t="str">
        <f>MasterMaterials!G105</f>
        <v>yd</v>
      </c>
      <c r="H102" s="45">
        <f>MasterMaterials!H105</f>
        <v>0</v>
      </c>
      <c r="I102" s="46">
        <f>MasterMaterials!I105</f>
        <v>32</v>
      </c>
      <c r="J102" s="47">
        <f>MasterMaterials!J105</f>
        <v>45</v>
      </c>
      <c r="K102" s="45" t="str">
        <f>MasterMaterials!K105</f>
        <v/>
      </c>
      <c r="L102" s="45" t="str">
        <f>MasterMaterials!L105</f>
        <v/>
      </c>
      <c r="M102" s="45" t="str">
        <f>MasterMaterials!M105</f>
        <v/>
      </c>
      <c r="N102" s="45" t="str">
        <f>MasterMaterials!N105</f>
        <v/>
      </c>
      <c r="O102" s="48">
        <f>MasterMaterials!O105</f>
        <v>45988</v>
      </c>
    </row>
    <row r="103">
      <c r="A103" s="45" t="str">
        <f>MasterMaterials!A106</f>
        <v>Hedge Shearing, hr</v>
      </c>
      <c r="B103" s="45" t="str">
        <f>MasterMaterials!B106</f>
        <v>LMN49073499</v>
      </c>
      <c r="C103" s="45" t="str">
        <f>MasterMaterials!C106</f>
        <v/>
      </c>
      <c r="D103" s="45" t="str">
        <f>MasterMaterials!D106</f>
        <v/>
      </c>
      <c r="E103" s="45" t="str">
        <f>MasterMaterials!E106</f>
        <v>Hedge Shearing, hr</v>
      </c>
      <c r="F103" s="45" t="str">
        <f>MasterMaterials!F106</f>
        <v/>
      </c>
      <c r="G103" s="45" t="str">
        <f>MasterMaterials!G106</f>
        <v>hr</v>
      </c>
      <c r="H103" s="45">
        <f>MasterMaterials!H106</f>
        <v>0.25</v>
      </c>
      <c r="I103" s="46" t="str">
        <f>MasterMaterials!I106</f>
        <v/>
      </c>
      <c r="J103" s="47">
        <f>MasterMaterials!J106</f>
        <v>15.75</v>
      </c>
      <c r="K103" s="45" t="str">
        <f>MasterMaterials!K106</f>
        <v/>
      </c>
      <c r="L103" s="45" t="str">
        <f>MasterMaterials!L106</f>
        <v/>
      </c>
      <c r="M103" s="45" t="str">
        <f>MasterMaterials!M106</f>
        <v/>
      </c>
      <c r="N103" s="45" t="str">
        <f>MasterMaterials!N106</f>
        <v/>
      </c>
      <c r="O103" s="48" t="str">
        <f>MasterMaterials!O106</f>
        <v/>
      </c>
    </row>
    <row r="104">
      <c r="A104" s="45" t="str">
        <f>MasterMaterials!A107</f>
        <v>Herbicide, gal</v>
      </c>
      <c r="B104" s="45" t="str">
        <f>MasterMaterials!B107</f>
        <v>LMN48941386</v>
      </c>
      <c r="C104" s="45" t="str">
        <f>MasterMaterials!C107</f>
        <v/>
      </c>
      <c r="D104" s="45" t="str">
        <f>MasterMaterials!D107</f>
        <v/>
      </c>
      <c r="E104" s="45" t="str">
        <f>MasterMaterials!E107</f>
        <v>Herbicide, gal</v>
      </c>
      <c r="F104" s="45" t="str">
        <f>MasterMaterials!F107</f>
        <v/>
      </c>
      <c r="G104" s="45" t="str">
        <f>MasterMaterials!G107</f>
        <v>gal</v>
      </c>
      <c r="H104" s="45" t="str">
        <f>MasterMaterials!H107</f>
        <v/>
      </c>
      <c r="I104" s="46" t="str">
        <f>MasterMaterials!I107</f>
        <v/>
      </c>
      <c r="J104" s="47">
        <f>MasterMaterials!J107</f>
        <v>37</v>
      </c>
      <c r="K104" s="45" t="str">
        <f>MasterMaterials!K107</f>
        <v/>
      </c>
      <c r="L104" s="45" t="str">
        <f>MasterMaterials!L107</f>
        <v/>
      </c>
      <c r="M104" s="45" t="str">
        <f>MasterMaterials!M107</f>
        <v/>
      </c>
      <c r="N104" s="45" t="str">
        <f>MasterMaterials!N107</f>
        <v/>
      </c>
      <c r="O104" s="48" t="str">
        <f>MasterMaterials!O107</f>
        <v/>
      </c>
    </row>
    <row r="105">
      <c r="A105" s="45" t="str">
        <f>MasterMaterials!A108</f>
        <v>Hose Bib Irrigation Timer, ea</v>
      </c>
      <c r="B105" s="45" t="str">
        <f>MasterMaterials!B108</f>
        <v>LMN45407580</v>
      </c>
      <c r="C105" s="45" t="str">
        <f>MasterMaterials!C108</f>
        <v>H</v>
      </c>
      <c r="D105" s="45" t="str">
        <f>MasterMaterials!D108</f>
        <v/>
      </c>
      <c r="E105" s="45" t="str">
        <f>MasterMaterials!E108</f>
        <v>Hose Bib Irrigation Timer, ea</v>
      </c>
      <c r="F105" s="45" t="str">
        <f>MasterMaterials!F108</f>
        <v/>
      </c>
      <c r="G105" s="45" t="str">
        <f>MasterMaterials!G108</f>
        <v>ea</v>
      </c>
      <c r="H105" s="45">
        <f>MasterMaterials!H108</f>
        <v>0</v>
      </c>
      <c r="I105" s="46">
        <f>MasterMaterials!I108</f>
        <v>40</v>
      </c>
      <c r="J105" s="47">
        <f>MasterMaterials!J108</f>
        <v>66.86</v>
      </c>
      <c r="K105" s="45" t="str">
        <f>MasterMaterials!K108</f>
        <v/>
      </c>
      <c r="L105" s="45" t="str">
        <f>MasterMaterials!L108</f>
        <v/>
      </c>
      <c r="M105" s="45" t="str">
        <f>MasterMaterials!M108</f>
        <v/>
      </c>
      <c r="N105" s="45" t="str">
        <f>MasterMaterials!N108</f>
        <v/>
      </c>
      <c r="O105" s="48">
        <f>MasterMaterials!O108</f>
        <v>45988</v>
      </c>
    </row>
    <row r="106">
      <c r="A106" s="45" t="str">
        <f>MasterMaterials!A109</f>
        <v>Hydromulch, Flexterra, #50 Bale, ea</v>
      </c>
      <c r="B106" s="45" t="str">
        <f>MasterMaterials!B109</f>
        <v>LMN40150792</v>
      </c>
      <c r="C106" s="45" t="str">
        <f>MasterMaterials!C109</f>
        <v>H</v>
      </c>
      <c r="D106" s="45" t="str">
        <f>MasterMaterials!D109</f>
        <v/>
      </c>
      <c r="E106" s="45" t="str">
        <f>MasterMaterials!E109</f>
        <v>Hydromulch, Flexterra, #50 Bale, ea</v>
      </c>
      <c r="F106" s="45" t="str">
        <f>MasterMaterials!F109</f>
        <v/>
      </c>
      <c r="G106" s="45" t="str">
        <f>MasterMaterials!G109</f>
        <v>ea</v>
      </c>
      <c r="H106" s="45">
        <f>MasterMaterials!H109</f>
        <v>0</v>
      </c>
      <c r="I106" s="46">
        <f>MasterMaterials!I109</f>
        <v>72</v>
      </c>
      <c r="J106" s="47">
        <f>MasterMaterials!J109</f>
        <v>120.35</v>
      </c>
      <c r="K106" s="45" t="str">
        <f>MasterMaterials!K109</f>
        <v/>
      </c>
      <c r="L106" s="50" t="str">
        <f>MasterMaterials!L109</f>
        <v/>
      </c>
      <c r="M106" s="45" t="str">
        <f>MasterMaterials!M109</f>
        <v/>
      </c>
      <c r="N106" s="45" t="str">
        <f>MasterMaterials!N109</f>
        <v/>
      </c>
      <c r="O106" s="48">
        <f>MasterMaterials!O109</f>
        <v>45988</v>
      </c>
    </row>
    <row r="107">
      <c r="A107" s="45" t="str">
        <f>MasterMaterials!A110</f>
        <v>Hydromulch, Wood or Straw, #50 Bale, ea</v>
      </c>
      <c r="B107" s="45" t="str">
        <f>MasterMaterials!B110</f>
        <v>LMN40150794</v>
      </c>
      <c r="C107" s="45" t="str">
        <f>MasterMaterials!C110</f>
        <v>H</v>
      </c>
      <c r="D107" s="45" t="str">
        <f>MasterMaterials!D110</f>
        <v/>
      </c>
      <c r="E107" s="45" t="str">
        <f>MasterMaterials!E110</f>
        <v>Hydromulch, Wood or Straw, #50 Bale, ea</v>
      </c>
      <c r="F107" s="45" t="str">
        <f>MasterMaterials!F110</f>
        <v/>
      </c>
      <c r="G107" s="45" t="str">
        <f>MasterMaterials!G110</f>
        <v>ea</v>
      </c>
      <c r="H107" s="45">
        <f>MasterMaterials!H110</f>
        <v>0</v>
      </c>
      <c r="I107" s="46">
        <f>MasterMaterials!I110</f>
        <v>22</v>
      </c>
      <c r="J107" s="47">
        <f>MasterMaterials!J110</f>
        <v>36.77</v>
      </c>
      <c r="K107" s="45" t="str">
        <f>MasterMaterials!K110</f>
        <v/>
      </c>
      <c r="L107" s="45" t="str">
        <f>MasterMaterials!L110</f>
        <v/>
      </c>
      <c r="M107" s="45" t="str">
        <f>MasterMaterials!M110</f>
        <v/>
      </c>
      <c r="N107" s="45" t="str">
        <f>MasterMaterials!N110</f>
        <v/>
      </c>
      <c r="O107" s="48">
        <f>MasterMaterials!O110</f>
        <v>45988</v>
      </c>
    </row>
    <row r="108">
      <c r="A108" s="45" t="str">
        <f>MasterMaterials!A111</f>
        <v>Insecticidal Soap, ea</v>
      </c>
      <c r="B108" s="45" t="str">
        <f>MasterMaterials!B111</f>
        <v>NEW015</v>
      </c>
      <c r="C108" s="45" t="str">
        <f>MasterMaterials!C111</f>
        <v>H</v>
      </c>
      <c r="D108" s="45" t="str">
        <f>MasterMaterials!D111</f>
        <v/>
      </c>
      <c r="E108" s="45" t="str">
        <f>MasterMaterials!E111</f>
        <v>Insecticidal Soap, ea</v>
      </c>
      <c r="F108" s="45" t="str">
        <f>MasterMaterials!F111</f>
        <v/>
      </c>
      <c r="G108" s="45" t="str">
        <f>MasterMaterials!G111</f>
        <v>ea</v>
      </c>
      <c r="H108" s="45">
        <f>MasterMaterials!H111</f>
        <v>0</v>
      </c>
      <c r="I108" s="46">
        <f>MasterMaterials!I111</f>
        <v>19.95</v>
      </c>
      <c r="J108" s="47">
        <f>MasterMaterials!J111</f>
        <v>19.95</v>
      </c>
      <c r="K108" s="45" t="str">
        <f>MasterMaterials!K111</f>
        <v>Y</v>
      </c>
      <c r="L108" s="45" t="str">
        <f>MasterMaterials!L111</f>
        <v/>
      </c>
      <c r="M108" s="45" t="str">
        <f>MasterMaterials!M111</f>
        <v/>
      </c>
      <c r="N108" s="45" t="str">
        <f>MasterMaterials!N111</f>
        <v/>
      </c>
      <c r="O108" s="48">
        <f>MasterMaterials!O111</f>
        <v>45988</v>
      </c>
    </row>
    <row r="109">
      <c r="A109" s="45" t="str">
        <f>MasterMaterials!A112</f>
        <v>Irri-gator GT15 pump</v>
      </c>
      <c r="B109" s="45" t="str">
        <f>MasterMaterials!B112</f>
        <v>LMN43624203</v>
      </c>
      <c r="C109" s="45" t="str">
        <f>MasterMaterials!C112</f>
        <v>H</v>
      </c>
      <c r="D109" s="45" t="str">
        <f>MasterMaterials!D112</f>
        <v/>
      </c>
      <c r="E109" s="45" t="str">
        <f>MasterMaterials!E112</f>
        <v/>
      </c>
      <c r="F109" s="45" t="str">
        <f>MasterMaterials!F112</f>
        <v/>
      </c>
      <c r="G109" s="45" t="str">
        <f>MasterMaterials!G112</f>
        <v/>
      </c>
      <c r="H109" s="45">
        <f>MasterMaterials!H112</f>
        <v>0</v>
      </c>
      <c r="I109" s="46">
        <f>MasterMaterials!I112</f>
        <v>619</v>
      </c>
      <c r="J109" s="47">
        <f>MasterMaterials!J112</f>
        <v>1034.67</v>
      </c>
      <c r="K109" s="45" t="str">
        <f>MasterMaterials!K112</f>
        <v/>
      </c>
      <c r="L109" s="45" t="str">
        <f>MasterMaterials!L112</f>
        <v/>
      </c>
      <c r="M109" s="45" t="str">
        <f>MasterMaterials!M112</f>
        <v/>
      </c>
      <c r="N109" s="45" t="str">
        <f>MasterMaterials!N112</f>
        <v/>
      </c>
      <c r="O109" s="48">
        <f>MasterMaterials!O112</f>
        <v>45677</v>
      </c>
    </row>
    <row r="110">
      <c r="A110" s="45" t="str">
        <f>MasterMaterials!A113</f>
        <v>Lawn Fertilization/Weed Control, ea</v>
      </c>
      <c r="B110" s="45" t="str">
        <f>MasterMaterials!B113</f>
        <v>NEW017</v>
      </c>
      <c r="C110" s="45" t="str">
        <f>MasterMaterials!C113</f>
        <v>H</v>
      </c>
      <c r="D110" s="45" t="str">
        <f>MasterMaterials!D113</f>
        <v/>
      </c>
      <c r="E110" s="45" t="str">
        <f>MasterMaterials!E113</f>
        <v>Insecticidal Soap, ea</v>
      </c>
      <c r="F110" s="45" t="str">
        <f>MasterMaterials!F113</f>
        <v/>
      </c>
      <c r="G110" s="45" t="str">
        <f>MasterMaterials!G113</f>
        <v>ea</v>
      </c>
      <c r="H110" s="45">
        <f>MasterMaterials!H113</f>
        <v>0</v>
      </c>
      <c r="I110" s="46">
        <f>MasterMaterials!I113</f>
        <v>71</v>
      </c>
      <c r="J110" s="47">
        <f>MasterMaterials!J113</f>
        <v>71</v>
      </c>
      <c r="K110" s="45" t="str">
        <f>MasterMaterials!K113</f>
        <v>Y</v>
      </c>
      <c r="L110" s="45" t="str">
        <f>MasterMaterials!L113</f>
        <v/>
      </c>
      <c r="M110" s="45" t="str">
        <f>MasterMaterials!M113</f>
        <v/>
      </c>
      <c r="N110" s="45" t="str">
        <f>MasterMaterials!N113</f>
        <v/>
      </c>
      <c r="O110" s="48">
        <f>MasterMaterials!O113</f>
        <v>45988</v>
      </c>
    </row>
    <row r="111">
      <c r="A111" s="45" t="str">
        <f>MasterMaterials!A114</f>
        <v>Mileage, ea</v>
      </c>
      <c r="B111" s="45" t="str">
        <f>MasterMaterials!B114</f>
        <v>LMN42434662</v>
      </c>
      <c r="C111" s="45" t="str">
        <f>MasterMaterials!C114</f>
        <v>H</v>
      </c>
      <c r="D111" s="45" t="str">
        <f>MasterMaterials!D114</f>
        <v/>
      </c>
      <c r="E111" s="45" t="str">
        <f>MasterMaterials!E114</f>
        <v>Mileage, ea</v>
      </c>
      <c r="F111" s="45" t="str">
        <f>MasterMaterials!F114</f>
        <v/>
      </c>
      <c r="G111" s="45" t="str">
        <f>MasterMaterials!G114</f>
        <v>ea</v>
      </c>
      <c r="H111" s="45">
        <f>MasterMaterials!H114</f>
        <v>0</v>
      </c>
      <c r="I111" s="46">
        <f>MasterMaterials!I114</f>
        <v>2.5</v>
      </c>
      <c r="J111" s="47">
        <f>MasterMaterials!J114</f>
        <v>2.5</v>
      </c>
      <c r="K111" s="45" t="str">
        <f>MasterMaterials!K114</f>
        <v>Y</v>
      </c>
      <c r="L111" s="45" t="str">
        <f>MasterMaterials!L114</f>
        <v/>
      </c>
      <c r="M111" s="45" t="str">
        <f>MasterMaterials!M114</f>
        <v/>
      </c>
      <c r="N111" s="45" t="str">
        <f>MasterMaterials!N114</f>
        <v/>
      </c>
      <c r="O111" s="48">
        <f>MasterMaterials!O114</f>
        <v>45989</v>
      </c>
    </row>
    <row r="112">
      <c r="A112" s="45" t="str">
        <f>MasterMaterials!A115</f>
        <v>Miscellaneous, 2M Supply, $</v>
      </c>
      <c r="B112" s="45" t="str">
        <f>MasterMaterials!B115</f>
        <v>LMN40150672</v>
      </c>
      <c r="C112" s="45" t="str">
        <f>MasterMaterials!C115</f>
        <v>H</v>
      </c>
      <c r="D112" s="45" t="str">
        <f>MasterMaterials!D115</f>
        <v/>
      </c>
      <c r="E112" s="45" t="str">
        <f>MasterMaterials!E115</f>
        <v>Miscellaneous, 2M Supply, $</v>
      </c>
      <c r="F112" s="45" t="str">
        <f>MasterMaterials!F115</f>
        <v/>
      </c>
      <c r="G112" s="45" t="str">
        <f>MasterMaterials!G115</f>
        <v>$</v>
      </c>
      <c r="H112" s="45">
        <f>MasterMaterials!H115</f>
        <v>0</v>
      </c>
      <c r="I112" s="46">
        <f>MasterMaterials!I115</f>
        <v>1</v>
      </c>
      <c r="J112" s="47">
        <f>MasterMaterials!J115</f>
        <v>2</v>
      </c>
      <c r="K112" s="45" t="str">
        <f>MasterMaterials!K115</f>
        <v>Y</v>
      </c>
      <c r="L112" s="45" t="str">
        <f>MasterMaterials!L115</f>
        <v/>
      </c>
      <c r="M112" s="45" t="str">
        <f>MasterMaterials!M115</f>
        <v/>
      </c>
      <c r="N112" s="45" t="str">
        <f>MasterMaterials!N115</f>
        <v/>
      </c>
      <c r="O112" s="48">
        <f>MasterMaterials!O115</f>
        <v>45988</v>
      </c>
    </row>
    <row r="113">
      <c r="A113" s="45" t="str">
        <f>MasterMaterials!A116</f>
        <v>Miscellaneous, Bulk Material, $</v>
      </c>
      <c r="B113" s="45" t="str">
        <f>MasterMaterials!B116</f>
        <v>LMN40150736</v>
      </c>
      <c r="C113" s="45" t="str">
        <f>MasterMaterials!C116</f>
        <v>H</v>
      </c>
      <c r="D113" s="45" t="str">
        <f>MasterMaterials!D116</f>
        <v/>
      </c>
      <c r="E113" s="45" t="str">
        <f>MasterMaterials!E116</f>
        <v>Miscellaneous, Bulk Material, $</v>
      </c>
      <c r="F113" s="45" t="str">
        <f>MasterMaterials!F116</f>
        <v/>
      </c>
      <c r="G113" s="45" t="str">
        <f>MasterMaterials!G116</f>
        <v>$</v>
      </c>
      <c r="H113" s="45">
        <f>MasterMaterials!H116</f>
        <v>0</v>
      </c>
      <c r="I113" s="46">
        <f>MasterMaterials!I116</f>
        <v>1</v>
      </c>
      <c r="J113" s="47">
        <f>MasterMaterials!J116</f>
        <v>1.2</v>
      </c>
      <c r="K113" s="45" t="str">
        <f>MasterMaterials!K116</f>
        <v>Y</v>
      </c>
      <c r="L113" s="45" t="str">
        <f>MasterMaterials!L116</f>
        <v/>
      </c>
      <c r="M113" s="45" t="str">
        <f>MasterMaterials!M116</f>
        <v/>
      </c>
      <c r="N113" s="45" t="str">
        <f>MasterMaterials!N116</f>
        <v/>
      </c>
      <c r="O113" s="49">
        <f>MasterMaterials!O116</f>
        <v>45988</v>
      </c>
    </row>
    <row r="114">
      <c r="A114" s="45" t="str">
        <f>MasterMaterials!A117</f>
        <v>Miscellaneous, Irrigation, $</v>
      </c>
      <c r="B114" s="45" t="str">
        <f>MasterMaterials!B117</f>
        <v>NEW036</v>
      </c>
      <c r="C114" s="45" t="str">
        <f>MasterMaterials!C117</f>
        <v>H</v>
      </c>
      <c r="D114" s="45" t="str">
        <f>MasterMaterials!D117</f>
        <v/>
      </c>
      <c r="E114" s="45" t="str">
        <f>MasterMaterials!E117</f>
        <v>Irrigation, Misc, $</v>
      </c>
      <c r="F114" s="45" t="str">
        <f>MasterMaterials!F117</f>
        <v/>
      </c>
      <c r="G114" s="45" t="str">
        <f>MasterMaterials!G117</f>
        <v>$</v>
      </c>
      <c r="H114" s="45">
        <f>MasterMaterials!H117</f>
        <v>0</v>
      </c>
      <c r="I114" s="46">
        <f>MasterMaterials!I117</f>
        <v>0</v>
      </c>
      <c r="J114" s="47">
        <f>MasterMaterials!J117</f>
        <v>0</v>
      </c>
      <c r="K114" s="45" t="str">
        <f>MasterMaterials!K117</f>
        <v/>
      </c>
      <c r="L114" s="45" t="str">
        <f>MasterMaterials!L117</f>
        <v/>
      </c>
      <c r="M114" s="45" t="str">
        <f>MasterMaterials!M117</f>
        <v/>
      </c>
      <c r="N114" s="45" t="str">
        <f>MasterMaterials!N117</f>
        <v/>
      </c>
      <c r="O114" s="48">
        <f>MasterMaterials!O117</f>
        <v>45988</v>
      </c>
    </row>
    <row r="115">
      <c r="A115" s="45" t="str">
        <f>MasterMaterials!A118</f>
        <v>Miscellaneous, Lumber, Kenyon Noble Including Hardware, $</v>
      </c>
      <c r="B115" s="45" t="str">
        <f>MasterMaterials!B118</f>
        <v>LMN40150746</v>
      </c>
      <c r="C115" s="45" t="str">
        <f>MasterMaterials!C118</f>
        <v>H</v>
      </c>
      <c r="D115" s="45" t="str">
        <f>MasterMaterials!D118</f>
        <v/>
      </c>
      <c r="E115" s="45" t="str">
        <f>MasterMaterials!E118</f>
        <v>Miscellaneous, Lumber, Kenyon Noble Including Hardware, $</v>
      </c>
      <c r="F115" s="45" t="str">
        <f>MasterMaterials!F118</f>
        <v/>
      </c>
      <c r="G115" s="45" t="str">
        <f>MasterMaterials!G118</f>
        <v>$</v>
      </c>
      <c r="H115" s="45">
        <f>MasterMaterials!H118</f>
        <v>0</v>
      </c>
      <c r="I115" s="46">
        <f>MasterMaterials!I118</f>
        <v>1</v>
      </c>
      <c r="J115" s="47">
        <f>MasterMaterials!J118</f>
        <v>1.2</v>
      </c>
      <c r="K115" s="45" t="str">
        <f>MasterMaterials!K118</f>
        <v>Y</v>
      </c>
      <c r="L115" s="45" t="str">
        <f>MasterMaterials!L118</f>
        <v/>
      </c>
      <c r="M115" s="45" t="str">
        <f>MasterMaterials!M118</f>
        <v/>
      </c>
      <c r="N115" s="45" t="str">
        <f>MasterMaterials!N118</f>
        <v/>
      </c>
      <c r="O115" s="48">
        <f>MasterMaterials!O118</f>
        <v>45988</v>
      </c>
    </row>
    <row r="116">
      <c r="A116" s="45" t="str">
        <f>MasterMaterials!A119</f>
        <v>Miscellaneous, Midland Supply, $</v>
      </c>
      <c r="B116" s="45" t="str">
        <f>MasterMaterials!B119</f>
        <v>LMN40150671</v>
      </c>
      <c r="C116" s="45" t="str">
        <f>MasterMaterials!C119</f>
        <v>H</v>
      </c>
      <c r="D116" s="45" t="str">
        <f>MasterMaterials!D119</f>
        <v/>
      </c>
      <c r="E116" s="45" t="str">
        <f>MasterMaterials!E119</f>
        <v>Miscellaneous, Midland Supply, $</v>
      </c>
      <c r="F116" s="45" t="str">
        <f>MasterMaterials!F119</f>
        <v/>
      </c>
      <c r="G116" s="45" t="str">
        <f>MasterMaterials!G119</f>
        <v>$</v>
      </c>
      <c r="H116" s="45">
        <f>MasterMaterials!H119</f>
        <v>0</v>
      </c>
      <c r="I116" s="46">
        <f>MasterMaterials!I119</f>
        <v>1</v>
      </c>
      <c r="J116" s="47">
        <f>MasterMaterials!J119</f>
        <v>2</v>
      </c>
      <c r="K116" s="45" t="str">
        <f>MasterMaterials!K119</f>
        <v>Y</v>
      </c>
      <c r="L116" s="45" t="str">
        <f>MasterMaterials!L119</f>
        <v/>
      </c>
      <c r="M116" s="45" t="str">
        <f>MasterMaterials!M119</f>
        <v/>
      </c>
      <c r="N116" s="45" t="str">
        <f>MasterMaterials!N119</f>
        <v/>
      </c>
      <c r="O116" s="49">
        <f>MasterMaterials!O119</f>
        <v>45988</v>
      </c>
    </row>
    <row r="117">
      <c r="A117" s="45" t="str">
        <f>MasterMaterials!A120</f>
        <v>Miscellaneous, Mountain Supply, $</v>
      </c>
      <c r="B117" s="45" t="str">
        <f>MasterMaterials!B120</f>
        <v>LMN40150673</v>
      </c>
      <c r="C117" s="45" t="str">
        <f>MasterMaterials!C120</f>
        <v>H</v>
      </c>
      <c r="D117" s="45" t="str">
        <f>MasterMaterials!D120</f>
        <v/>
      </c>
      <c r="E117" s="45" t="str">
        <f>MasterMaterials!E120</f>
        <v>Miscellaneous, Mountain Supply, $</v>
      </c>
      <c r="F117" s="45" t="str">
        <f>MasterMaterials!F120</f>
        <v/>
      </c>
      <c r="G117" s="45" t="str">
        <f>MasterMaterials!G120</f>
        <v>$</v>
      </c>
      <c r="H117" s="45">
        <f>MasterMaterials!H120</f>
        <v>0</v>
      </c>
      <c r="I117" s="46">
        <f>MasterMaterials!I120</f>
        <v>1</v>
      </c>
      <c r="J117" s="47">
        <f>MasterMaterials!J120</f>
        <v>2</v>
      </c>
      <c r="K117" s="45" t="str">
        <f>MasterMaterials!K120</f>
        <v>Y</v>
      </c>
      <c r="L117" s="45" t="str">
        <f>MasterMaterials!L120</f>
        <v/>
      </c>
      <c r="M117" s="45" t="str">
        <f>MasterMaterials!M120</f>
        <v/>
      </c>
      <c r="N117" s="45" t="str">
        <f>MasterMaterials!N120</f>
        <v/>
      </c>
      <c r="O117" s="49">
        <f>MasterMaterials!O120</f>
        <v>45988</v>
      </c>
    </row>
    <row r="118">
      <c r="A118" s="45" t="str">
        <f>MasterMaterials!A121</f>
        <v>Mow/Weed Whack Big Sky, hr</v>
      </c>
      <c r="B118" s="45" t="str">
        <f>MasterMaterials!B121</f>
        <v>LMN49034498</v>
      </c>
      <c r="C118" s="45" t="str">
        <f>MasterMaterials!C121</f>
        <v/>
      </c>
      <c r="D118" s="45" t="str">
        <f>MasterMaterials!D121</f>
        <v/>
      </c>
      <c r="E118" s="45" t="str">
        <f>MasterMaterials!E121</f>
        <v>Mow/Weed Whack Big Sky, hr</v>
      </c>
      <c r="F118" s="45" t="str">
        <f>MasterMaterials!F121</f>
        <v/>
      </c>
      <c r="G118" s="45" t="str">
        <f>MasterMaterials!G121</f>
        <v>hr</v>
      </c>
      <c r="H118" s="45" t="str">
        <f>MasterMaterials!H121</f>
        <v/>
      </c>
      <c r="I118" s="46" t="str">
        <f>MasterMaterials!I121</f>
        <v/>
      </c>
      <c r="J118" s="47">
        <f>MasterMaterials!J121</f>
        <v>71</v>
      </c>
      <c r="K118" s="45" t="str">
        <f>MasterMaterials!K121</f>
        <v/>
      </c>
      <c r="L118" s="50" t="str">
        <f>MasterMaterials!L121</f>
        <v/>
      </c>
      <c r="M118" s="45" t="str">
        <f>MasterMaterials!M121</f>
        <v/>
      </c>
      <c r="N118" s="45" t="str">
        <f>MasterMaterials!N121</f>
        <v/>
      </c>
      <c r="O118" s="48" t="str">
        <f>MasterMaterials!O121</f>
        <v/>
      </c>
    </row>
    <row r="119">
      <c r="A119" s="45" t="str">
        <f>MasterMaterials!A122</f>
        <v>Mow/Weed Whack Bozeman, hr</v>
      </c>
      <c r="B119" s="45" t="str">
        <f>MasterMaterials!B122</f>
        <v>LMN49067191</v>
      </c>
      <c r="C119" s="45" t="str">
        <f>MasterMaterials!C122</f>
        <v/>
      </c>
      <c r="D119" s="45" t="str">
        <f>MasterMaterials!D122</f>
        <v/>
      </c>
      <c r="E119" s="45" t="str">
        <f>MasterMaterials!E122</f>
        <v>Mow/Weed Whack Bozeman, hr</v>
      </c>
      <c r="F119" s="45" t="str">
        <f>MasterMaterials!F122</f>
        <v/>
      </c>
      <c r="G119" s="45" t="str">
        <f>MasterMaterials!G122</f>
        <v>hr</v>
      </c>
      <c r="H119" s="45" t="str">
        <f>MasterMaterials!H122</f>
        <v/>
      </c>
      <c r="I119" s="46" t="str">
        <f>MasterMaterials!I122</f>
        <v/>
      </c>
      <c r="J119" s="47">
        <f>MasterMaterials!J122</f>
        <v>22</v>
      </c>
      <c r="K119" s="45" t="str">
        <f>MasterMaterials!K122</f>
        <v/>
      </c>
      <c r="L119" s="50" t="str">
        <f>MasterMaterials!L122</f>
        <v/>
      </c>
      <c r="M119" s="45" t="str">
        <f>MasterMaterials!M122</f>
        <v/>
      </c>
      <c r="N119" s="45" t="str">
        <f>MasterMaterials!N122</f>
        <v/>
      </c>
      <c r="O119" s="48" t="str">
        <f>MasterMaterials!O122</f>
        <v/>
      </c>
    </row>
    <row r="120">
      <c r="A120" s="45" t="str">
        <f>MasterMaterials!A123</f>
        <v>Mugo Pine, 15 gal/B&amp;B, ea</v>
      </c>
      <c r="B120" s="45" t="str">
        <f>MasterMaterials!B123</f>
        <v>LMN40150772</v>
      </c>
      <c r="C120" s="45" t="str">
        <f>MasterMaterials!C123</f>
        <v>H</v>
      </c>
      <c r="D120" s="45" t="str">
        <f>MasterMaterials!D123</f>
        <v/>
      </c>
      <c r="E120" s="45" t="str">
        <f>MasterMaterials!E123</f>
        <v>Mugo Pine, 15 gal/B&amp;B, ea</v>
      </c>
      <c r="F120" s="45" t="str">
        <f>MasterMaterials!F123</f>
        <v/>
      </c>
      <c r="G120" s="45" t="str">
        <f>MasterMaterials!G123</f>
        <v>ea</v>
      </c>
      <c r="H120" s="45">
        <f>MasterMaterials!H123</f>
        <v>0</v>
      </c>
      <c r="I120" s="46">
        <f>MasterMaterials!I123</f>
        <v>300</v>
      </c>
      <c r="J120" s="47">
        <f>MasterMaterials!J123</f>
        <v>501.45</v>
      </c>
      <c r="K120" s="45" t="str">
        <f>MasterMaterials!K123</f>
        <v/>
      </c>
      <c r="L120" s="50">
        <f>MasterMaterials!L123</f>
        <v>0.29</v>
      </c>
      <c r="M120" s="45" t="str">
        <f>MasterMaterials!M123</f>
        <v/>
      </c>
      <c r="N120" s="45" t="str">
        <f>MasterMaterials!N123</f>
        <v/>
      </c>
      <c r="O120" s="48">
        <f>MasterMaterials!O123</f>
        <v>45988</v>
      </c>
    </row>
    <row r="121">
      <c r="A121" s="45" t="str">
        <f>MasterMaterials!A125</f>
        <v>Mulch, Shredded Cedar, Bagged, ea</v>
      </c>
      <c r="B121" s="45" t="str">
        <f>MasterMaterials!B125</f>
        <v>LMN40150721</v>
      </c>
      <c r="C121" s="45" t="str">
        <f>MasterMaterials!C125</f>
        <v>H</v>
      </c>
      <c r="D121" s="45" t="str">
        <f>MasterMaterials!D125</f>
        <v/>
      </c>
      <c r="E121" s="45" t="str">
        <f>MasterMaterials!E125</f>
        <v>Mulch, Shredded Cedar, Bagged, ea</v>
      </c>
      <c r="F121" s="45" t="str">
        <f>MasterMaterials!F125</f>
        <v/>
      </c>
      <c r="G121" s="45" t="str">
        <f>MasterMaterials!G125</f>
        <v>ea</v>
      </c>
      <c r="H121" s="45">
        <f>MasterMaterials!H125</f>
        <v>0</v>
      </c>
      <c r="I121" s="46">
        <f>MasterMaterials!I125</f>
        <v>5.44</v>
      </c>
      <c r="J121" s="47">
        <f>MasterMaterials!J125</f>
        <v>10.88</v>
      </c>
      <c r="K121" s="45" t="str">
        <f>MasterMaterials!K125</f>
        <v/>
      </c>
      <c r="L121" s="45" t="str">
        <f>MasterMaterials!L125</f>
        <v/>
      </c>
      <c r="M121" s="45" t="str">
        <f>MasterMaterials!M125</f>
        <v/>
      </c>
      <c r="N121" s="45" t="str">
        <f>MasterMaterials!N125</f>
        <v/>
      </c>
      <c r="O121" s="49">
        <f>MasterMaterials!O125</f>
        <v>46129</v>
      </c>
    </row>
    <row r="122">
      <c r="A122" s="45" t="str">
        <f>MasterMaterials!A126</f>
        <v>Mulch, Shredded Cedar, Bulk, yd</v>
      </c>
      <c r="B122" s="45" t="str">
        <f>MasterMaterials!B126</f>
        <v>LMN40150716</v>
      </c>
      <c r="C122" s="45" t="str">
        <f>MasterMaterials!C126</f>
        <v>H</v>
      </c>
      <c r="D122" s="45" t="str">
        <f>MasterMaterials!D126</f>
        <v/>
      </c>
      <c r="E122" s="45" t="str">
        <f>MasterMaterials!E126</f>
        <v>Mulch, Shredded Cedar, Bulk, yd</v>
      </c>
      <c r="F122" s="45" t="str">
        <f>MasterMaterials!F126</f>
        <v/>
      </c>
      <c r="G122" s="45" t="str">
        <f>MasterMaterials!G126</f>
        <v>yd</v>
      </c>
      <c r="H122" s="45">
        <f>MasterMaterials!H126</f>
        <v>0</v>
      </c>
      <c r="I122" s="46">
        <f>MasterMaterials!I126</f>
        <v>40.94</v>
      </c>
      <c r="J122" s="47">
        <f>MasterMaterials!J126</f>
        <v>65</v>
      </c>
      <c r="K122" s="45" t="str">
        <f>MasterMaterials!K126</f>
        <v>Y</v>
      </c>
      <c r="L122" s="45" t="str">
        <f>MasterMaterials!L126</f>
        <v/>
      </c>
      <c r="M122" s="45" t="str">
        <f>MasterMaterials!M126</f>
        <v/>
      </c>
      <c r="N122" s="45" t="str">
        <f>MasterMaterials!N126</f>
        <v/>
      </c>
      <c r="O122" s="49">
        <f>MasterMaterials!O126</f>
        <v>45989</v>
      </c>
    </row>
    <row r="123">
      <c r="A123" s="45" t="str">
        <f>MasterMaterials!A127</f>
        <v>Mulch, Soil Pep, Bagged, ea</v>
      </c>
      <c r="B123" s="45" t="str">
        <f>MasterMaterials!B127</f>
        <v>LMN40150717</v>
      </c>
      <c r="C123" s="45" t="str">
        <f>MasterMaterials!C127</f>
        <v>H</v>
      </c>
      <c r="D123" s="45" t="str">
        <f>MasterMaterials!D127</f>
        <v/>
      </c>
      <c r="E123" s="45" t="str">
        <f>MasterMaterials!E127</f>
        <v>Mulch, Soil Pep, Bagged, ea</v>
      </c>
      <c r="F123" s="45" t="str">
        <f>MasterMaterials!F127</f>
        <v/>
      </c>
      <c r="G123" s="45" t="str">
        <f>MasterMaterials!G127</f>
        <v>ea</v>
      </c>
      <c r="H123" s="45">
        <f>MasterMaterials!H127</f>
        <v>0</v>
      </c>
      <c r="I123" s="46">
        <f>MasterMaterials!I127</f>
        <v>4.42</v>
      </c>
      <c r="J123" s="47">
        <f>MasterMaterials!J127</f>
        <v>8.84</v>
      </c>
      <c r="K123" s="45" t="str">
        <f>MasterMaterials!K127</f>
        <v/>
      </c>
      <c r="L123" s="45" t="str">
        <f>MasterMaterials!L127</f>
        <v/>
      </c>
      <c r="M123" s="45" t="str">
        <f>MasterMaterials!M127</f>
        <v/>
      </c>
      <c r="N123" s="45" t="str">
        <f>MasterMaterials!N127</f>
        <v/>
      </c>
      <c r="O123" s="49">
        <f>MasterMaterials!O127</f>
        <v>46129</v>
      </c>
    </row>
    <row r="124">
      <c r="A124" s="45" t="str">
        <f>MasterMaterials!A128</f>
        <v>Mulch, Soil Pep, Bulk, yd</v>
      </c>
      <c r="B124" s="45" t="str">
        <f>MasterMaterials!B128</f>
        <v>LMN40150722</v>
      </c>
      <c r="C124" s="45" t="str">
        <f>MasterMaterials!C128</f>
        <v>H</v>
      </c>
      <c r="D124" s="45" t="str">
        <f>MasterMaterials!D128</f>
        <v/>
      </c>
      <c r="E124" s="45" t="str">
        <f>MasterMaterials!E128</f>
        <v>Mulch, Soil Pep, Bulk, yd</v>
      </c>
      <c r="F124" s="45" t="str">
        <f>MasterMaterials!F128</f>
        <v/>
      </c>
      <c r="G124" s="45" t="str">
        <f>MasterMaterials!G128</f>
        <v>yd</v>
      </c>
      <c r="H124" s="45">
        <f>MasterMaterials!H128</f>
        <v>0</v>
      </c>
      <c r="I124" s="46">
        <f>MasterMaterials!I128</f>
        <v>41.21</v>
      </c>
      <c r="J124" s="47">
        <f>MasterMaterials!J128</f>
        <v>79.12</v>
      </c>
      <c r="K124" s="45" t="str">
        <f>MasterMaterials!K128</f>
        <v/>
      </c>
      <c r="L124" s="45" t="str">
        <f>MasterMaterials!L128</f>
        <v/>
      </c>
      <c r="M124" s="45" t="str">
        <f>MasterMaterials!M128</f>
        <v/>
      </c>
      <c r="N124" s="45" t="str">
        <f>MasterMaterials!N128</f>
        <v/>
      </c>
      <c r="O124" s="49">
        <f>MasterMaterials!O128</f>
        <v>45989</v>
      </c>
    </row>
    <row r="125">
      <c r="A125" s="45" t="str">
        <f>MasterMaterials!A129</f>
        <v>NDS drain box, 12" Includes Grate and Inserts, ea</v>
      </c>
      <c r="B125" s="45" t="str">
        <f>MasterMaterials!B129</f>
        <v>LMN40150735</v>
      </c>
      <c r="C125" s="45" t="str">
        <f>MasterMaterials!C129</f>
        <v>H</v>
      </c>
      <c r="D125" s="45" t="str">
        <f>MasterMaterials!D129</f>
        <v/>
      </c>
      <c r="E125" s="45" t="str">
        <f>MasterMaterials!E129</f>
        <v>NDS drain box, 12" Includes Grate and Inserts, ea</v>
      </c>
      <c r="F125" s="45" t="str">
        <f>MasterMaterials!F129</f>
        <v/>
      </c>
      <c r="G125" s="45" t="str">
        <f>MasterMaterials!G129</f>
        <v>ea</v>
      </c>
      <c r="H125" s="45">
        <f>MasterMaterials!H129</f>
        <v>0</v>
      </c>
      <c r="I125" s="46">
        <f>MasterMaterials!I129</f>
        <v>85.51</v>
      </c>
      <c r="J125" s="47">
        <f>MasterMaterials!J129</f>
        <v>142.93</v>
      </c>
      <c r="K125" s="45" t="str">
        <f>MasterMaterials!K129</f>
        <v/>
      </c>
      <c r="L125" s="45" t="str">
        <f>MasterMaterials!L129</f>
        <v/>
      </c>
      <c r="M125" s="45" t="str">
        <f>MasterMaterials!M129</f>
        <v/>
      </c>
      <c r="N125" s="45" t="str">
        <f>MasterMaterials!N129</f>
        <v/>
      </c>
      <c r="O125" s="49">
        <f>MasterMaterials!O129</f>
        <v>45988</v>
      </c>
    </row>
    <row r="126">
      <c r="A126" s="45" t="str">
        <f>MasterMaterials!A130</f>
        <v>NDS Drain Box, 9" Includes Grate and Inserts, ea</v>
      </c>
      <c r="B126" s="45" t="str">
        <f>MasterMaterials!B130</f>
        <v>LMN40150734</v>
      </c>
      <c r="C126" s="45" t="str">
        <f>MasterMaterials!C130</f>
        <v>H</v>
      </c>
      <c r="D126" s="45" t="str">
        <f>MasterMaterials!D130</f>
        <v/>
      </c>
      <c r="E126" s="45" t="str">
        <f>MasterMaterials!E130</f>
        <v>NDS Drain Box, 9" Includes Grate and Inserts, ea</v>
      </c>
      <c r="F126" s="45" t="str">
        <f>MasterMaterials!F130</f>
        <v/>
      </c>
      <c r="G126" s="45" t="str">
        <f>MasterMaterials!G130</f>
        <v>ea</v>
      </c>
      <c r="H126" s="45">
        <f>MasterMaterials!H130</f>
        <v>0</v>
      </c>
      <c r="I126" s="46">
        <f>MasterMaterials!I130</f>
        <v>59.35</v>
      </c>
      <c r="J126" s="47">
        <f>MasterMaterials!J130</f>
        <v>99.2</v>
      </c>
      <c r="K126" s="45" t="str">
        <f>MasterMaterials!K130</f>
        <v/>
      </c>
      <c r="L126" s="45" t="str">
        <f>MasterMaterials!L130</f>
        <v/>
      </c>
      <c r="M126" s="45" t="str">
        <f>MasterMaterials!M130</f>
        <v/>
      </c>
      <c r="N126" s="45" t="str">
        <f>MasterMaterials!N130</f>
        <v/>
      </c>
      <c r="O126" s="48">
        <f>MasterMaterials!O130</f>
        <v>45988</v>
      </c>
    </row>
    <row r="127">
      <c r="A127" s="45" t="str">
        <f>MasterMaterials!A131</f>
        <v>Neem Oil, bottle, ea</v>
      </c>
      <c r="B127" s="45" t="str">
        <f>MasterMaterials!B131</f>
        <v>NEW020</v>
      </c>
      <c r="C127" s="45" t="str">
        <f>MasterMaterials!C131</f>
        <v>H</v>
      </c>
      <c r="D127" s="45" t="str">
        <f>MasterMaterials!D131</f>
        <v/>
      </c>
      <c r="E127" s="45" t="str">
        <f>MasterMaterials!E131</f>
        <v>Neem Oil, bottle, ea</v>
      </c>
      <c r="F127" s="45" t="str">
        <f>MasterMaterials!F131</f>
        <v/>
      </c>
      <c r="G127" s="45" t="str">
        <f>MasterMaterials!G131</f>
        <v>ea</v>
      </c>
      <c r="H127" s="45">
        <f>MasterMaterials!H131</f>
        <v>0</v>
      </c>
      <c r="I127" s="46">
        <f>MasterMaterials!I131</f>
        <v>42</v>
      </c>
      <c r="J127" s="47">
        <f>MasterMaterials!J131</f>
        <v>52.5</v>
      </c>
      <c r="K127" s="45" t="str">
        <f>MasterMaterials!K131</f>
        <v>Y</v>
      </c>
      <c r="L127" s="45" t="str">
        <f>MasterMaterials!L131</f>
        <v/>
      </c>
      <c r="M127" s="45" t="str">
        <f>MasterMaterials!M131</f>
        <v/>
      </c>
      <c r="N127" s="45" t="str">
        <f>MasterMaterials!N131</f>
        <v/>
      </c>
      <c r="O127" s="51">
        <f>MasterMaterials!O131</f>
        <v>46129</v>
      </c>
    </row>
    <row r="128">
      <c r="A128" s="45" t="str">
        <f>MasterMaterials!A132</f>
        <v>Netafim, ft</v>
      </c>
      <c r="B128" s="45" t="str">
        <f>MasterMaterials!B132</f>
        <v>LMN40150664</v>
      </c>
      <c r="C128" s="45" t="str">
        <f>MasterMaterials!C132</f>
        <v>H</v>
      </c>
      <c r="D128" s="45" t="str">
        <f>MasterMaterials!D132</f>
        <v/>
      </c>
      <c r="E128" s="45" t="str">
        <f>MasterMaterials!E132</f>
        <v>Netafim, ft</v>
      </c>
      <c r="F128" s="45" t="str">
        <f>MasterMaterials!F132</f>
        <v/>
      </c>
      <c r="G128" s="45" t="str">
        <f>MasterMaterials!G132</f>
        <v>ft</v>
      </c>
      <c r="H128" s="45">
        <f>MasterMaterials!H132</f>
        <v>0</v>
      </c>
      <c r="I128" s="46">
        <f>MasterMaterials!I132</f>
        <v>0.32</v>
      </c>
      <c r="J128" s="47">
        <f>MasterMaterials!J132</f>
        <v>0.74</v>
      </c>
      <c r="K128" s="45" t="str">
        <f>MasterMaterials!K132</f>
        <v>Y</v>
      </c>
      <c r="L128" s="45" t="str">
        <f>MasterMaterials!L132</f>
        <v/>
      </c>
      <c r="M128" s="45" t="str">
        <f>MasterMaterials!M132</f>
        <v/>
      </c>
      <c r="N128" s="45" t="str">
        <f>MasterMaterials!N132</f>
        <v/>
      </c>
      <c r="O128" s="49">
        <f>MasterMaterials!O132</f>
        <v>45989</v>
      </c>
    </row>
    <row r="129">
      <c r="A129" s="45" t="str">
        <f>MasterMaterials!A133</f>
        <v>Node, 1 Station, ea</v>
      </c>
      <c r="B129" s="45" t="str">
        <f>MasterMaterials!B133</f>
        <v>LMN40150690</v>
      </c>
      <c r="C129" s="45" t="str">
        <f>MasterMaterials!C133</f>
        <v>H</v>
      </c>
      <c r="D129" s="45" t="str">
        <f>MasterMaterials!D133</f>
        <v/>
      </c>
      <c r="E129" s="45" t="str">
        <f>MasterMaterials!E133</f>
        <v>Node, 1 Station, ea</v>
      </c>
      <c r="F129" s="45" t="str">
        <f>MasterMaterials!F133</f>
        <v/>
      </c>
      <c r="G129" s="45" t="str">
        <f>MasterMaterials!G133</f>
        <v>ea</v>
      </c>
      <c r="H129" s="45">
        <f>MasterMaterials!H133</f>
        <v>0</v>
      </c>
      <c r="I129" s="46">
        <f>MasterMaterials!I133</f>
        <v>111.02</v>
      </c>
      <c r="J129" s="47">
        <f>MasterMaterials!J133</f>
        <v>233.01</v>
      </c>
      <c r="K129" s="45" t="str">
        <f>MasterMaterials!K133</f>
        <v>Y</v>
      </c>
      <c r="L129" s="45" t="str">
        <f>MasterMaterials!L133</f>
        <v/>
      </c>
      <c r="M129" s="45" t="str">
        <f>MasterMaterials!M133</f>
        <v/>
      </c>
      <c r="N129" s="45" t="str">
        <f>MasterMaterials!N133</f>
        <v/>
      </c>
      <c r="O129" s="49">
        <f>MasterMaterials!O133</f>
        <v>45988</v>
      </c>
    </row>
    <row r="130">
      <c r="A130" s="45" t="str">
        <f>MasterMaterials!A134</f>
        <v>Node, 2 Station, ea</v>
      </c>
      <c r="B130" s="45" t="str">
        <f>MasterMaterials!B134</f>
        <v>NEW037</v>
      </c>
      <c r="C130" s="45" t="str">
        <f>MasterMaterials!C134</f>
        <v>H</v>
      </c>
      <c r="D130" s="45" t="str">
        <f>MasterMaterials!D134</f>
        <v/>
      </c>
      <c r="E130" s="45" t="str">
        <f>MasterMaterials!E134</f>
        <v>Node, 2 Station, ea</v>
      </c>
      <c r="F130" s="45" t="str">
        <f>MasterMaterials!F134</f>
        <v/>
      </c>
      <c r="G130" s="45" t="str">
        <f>MasterMaterials!G134</f>
        <v>ea</v>
      </c>
      <c r="H130" s="45">
        <f>MasterMaterials!H134</f>
        <v>0</v>
      </c>
      <c r="I130" s="46">
        <f>MasterMaterials!I134</f>
        <v>152.4</v>
      </c>
      <c r="J130" s="47">
        <f>MasterMaterials!J134</f>
        <v>357.21</v>
      </c>
      <c r="K130" s="45" t="str">
        <f>MasterMaterials!K134</f>
        <v>Y</v>
      </c>
      <c r="L130" s="45" t="str">
        <f>MasterMaterials!L134</f>
        <v/>
      </c>
      <c r="M130" s="45" t="str">
        <f>MasterMaterials!M134</f>
        <v/>
      </c>
      <c r="N130" s="45" t="str">
        <f>MasterMaterials!N134</f>
        <v/>
      </c>
      <c r="O130" s="48">
        <f>MasterMaterials!O134</f>
        <v>45988</v>
      </c>
    </row>
    <row r="131">
      <c r="A131" s="45" t="str">
        <f>MasterMaterials!A135</f>
        <v>Noxious weed control, hr</v>
      </c>
      <c r="B131" s="45" t="str">
        <f>MasterMaterials!B135</f>
        <v>NEW021</v>
      </c>
      <c r="C131" s="45" t="str">
        <f>MasterMaterials!C135</f>
        <v>H</v>
      </c>
      <c r="D131" s="45" t="str">
        <f>MasterMaterials!D135</f>
        <v/>
      </c>
      <c r="E131" s="45" t="str">
        <f>MasterMaterials!E135</f>
        <v>Noxious weed control, hr</v>
      </c>
      <c r="F131" s="45" t="str">
        <f>MasterMaterials!F135</f>
        <v/>
      </c>
      <c r="G131" s="45" t="str">
        <f>MasterMaterials!G135</f>
        <v>hr</v>
      </c>
      <c r="H131" s="45">
        <f>MasterMaterials!H135</f>
        <v>0</v>
      </c>
      <c r="I131" s="46">
        <f>MasterMaterials!I135</f>
        <v>81</v>
      </c>
      <c r="J131" s="47">
        <f>MasterMaterials!J135</f>
        <v>82</v>
      </c>
      <c r="K131" s="45" t="str">
        <f>MasterMaterials!K135</f>
        <v>Y</v>
      </c>
      <c r="L131" s="45" t="str">
        <f>MasterMaterials!L135</f>
        <v/>
      </c>
      <c r="M131" s="45" t="str">
        <f>MasterMaterials!M135</f>
        <v/>
      </c>
      <c r="N131" s="45" t="str">
        <f>MasterMaterials!N135</f>
        <v/>
      </c>
      <c r="O131" s="48">
        <f>MasterMaterials!O135</f>
        <v>45988</v>
      </c>
    </row>
    <row r="132">
      <c r="A132" s="45" t="str">
        <f>MasterMaterials!A136</f>
        <v>Nozzle, MP Rotator, ea</v>
      </c>
      <c r="B132" s="45" t="str">
        <f>MasterMaterials!B136</f>
        <v>LMN40150687</v>
      </c>
      <c r="C132" s="45" t="str">
        <f>MasterMaterials!C136</f>
        <v>H</v>
      </c>
      <c r="D132" s="45" t="str">
        <f>MasterMaterials!D136</f>
        <v/>
      </c>
      <c r="E132" s="45" t="str">
        <f>MasterMaterials!E136</f>
        <v>Nozzle, MP Rotator, ea</v>
      </c>
      <c r="F132" s="45" t="str">
        <f>MasterMaterials!F136</f>
        <v/>
      </c>
      <c r="G132" s="45" t="str">
        <f>MasterMaterials!G136</f>
        <v>ea</v>
      </c>
      <c r="H132" s="45">
        <f>MasterMaterials!H136</f>
        <v>0</v>
      </c>
      <c r="I132" s="46">
        <f>MasterMaterials!I136</f>
        <v>4.29</v>
      </c>
      <c r="J132" s="47">
        <f>MasterMaterials!J136</f>
        <v>8.59</v>
      </c>
      <c r="K132" s="45" t="str">
        <f>MasterMaterials!K136</f>
        <v>Y</v>
      </c>
      <c r="L132" s="45" t="str">
        <f>MasterMaterials!L136</f>
        <v/>
      </c>
      <c r="M132" s="45" t="str">
        <f>MasterMaterials!M136</f>
        <v/>
      </c>
      <c r="N132" s="45" t="str">
        <f>MasterMaterials!N136</f>
        <v/>
      </c>
      <c r="O132" s="48">
        <f>MasterMaterials!O136</f>
        <v>45988</v>
      </c>
    </row>
    <row r="133">
      <c r="A133" s="45" t="str">
        <f>MasterMaterials!A137</f>
        <v>Nozzle, RVAN, ea</v>
      </c>
      <c r="B133" s="45" t="str">
        <f>MasterMaterials!B137</f>
        <v>NEW038</v>
      </c>
      <c r="C133" s="45" t="str">
        <f>MasterMaterials!C137</f>
        <v>H</v>
      </c>
      <c r="D133" s="45" t="str">
        <f>MasterMaterials!D137</f>
        <v/>
      </c>
      <c r="E133" s="45" t="str">
        <f>MasterMaterials!E137</f>
        <v>Nozzle, RVAN, ea</v>
      </c>
      <c r="F133" s="45" t="str">
        <f>MasterMaterials!F137</f>
        <v/>
      </c>
      <c r="G133" s="45" t="str">
        <f>MasterMaterials!G137</f>
        <v>ea</v>
      </c>
      <c r="H133" s="45">
        <f>MasterMaterials!H137</f>
        <v>0</v>
      </c>
      <c r="I133" s="46">
        <f>MasterMaterials!I137</f>
        <v>4.29</v>
      </c>
      <c r="J133" s="47">
        <f>MasterMaterials!J137</f>
        <v>8.59</v>
      </c>
      <c r="K133" s="45" t="str">
        <f>MasterMaterials!K137</f>
        <v/>
      </c>
      <c r="L133" s="45" t="str">
        <f>MasterMaterials!L137</f>
        <v/>
      </c>
      <c r="M133" s="45" t="str">
        <f>MasterMaterials!M137</f>
        <v/>
      </c>
      <c r="N133" s="45" t="str">
        <f>MasterMaterials!N137</f>
        <v/>
      </c>
      <c r="O133" s="48">
        <f>MasterMaterials!O137</f>
        <v>45989</v>
      </c>
    </row>
    <row r="134">
      <c r="A134" s="45" t="str">
        <f>MasterMaterials!A139</f>
        <v>Paver Edge</v>
      </c>
      <c r="B134" s="45" t="str">
        <f>MasterMaterials!B139</f>
        <v>LMN46147072</v>
      </c>
      <c r="C134" s="45" t="str">
        <f>MasterMaterials!C139</f>
        <v>H</v>
      </c>
      <c r="D134" s="45" t="str">
        <f>MasterMaterials!D139</f>
        <v/>
      </c>
      <c r="E134" s="45" t="str">
        <f>MasterMaterials!E139</f>
        <v/>
      </c>
      <c r="F134" s="45" t="str">
        <f>MasterMaterials!F139</f>
        <v/>
      </c>
      <c r="G134" s="45" t="str">
        <f>MasterMaterials!G139</f>
        <v>Ft</v>
      </c>
      <c r="H134" s="45">
        <f>MasterMaterials!H139</f>
        <v>1</v>
      </c>
      <c r="I134" s="46">
        <f>MasterMaterials!I139</f>
        <v>4.88</v>
      </c>
      <c r="J134" s="47">
        <f>MasterMaterials!J139</f>
        <v>8.15</v>
      </c>
      <c r="K134" s="45" t="str">
        <f>MasterMaterials!K139</f>
        <v/>
      </c>
      <c r="L134" s="45" t="str">
        <f>MasterMaterials!L139</f>
        <v/>
      </c>
      <c r="M134" s="45" t="str">
        <f>MasterMaterials!M139</f>
        <v/>
      </c>
      <c r="N134" s="45" t="str">
        <f>MasterMaterials!N139</f>
        <v/>
      </c>
      <c r="O134" s="48">
        <f>MasterMaterials!O139</f>
        <v>45847</v>
      </c>
    </row>
    <row r="135">
      <c r="A135" s="45" t="str">
        <f>MasterMaterials!A140</f>
        <v>Paver, 2-3", sf</v>
      </c>
      <c r="B135" s="45" t="str">
        <f>MasterMaterials!B140</f>
        <v>LMN43641020</v>
      </c>
      <c r="C135" s="45" t="str">
        <f>MasterMaterials!C140</f>
        <v>H</v>
      </c>
      <c r="D135" s="45" t="str">
        <f>MasterMaterials!D140</f>
        <v/>
      </c>
      <c r="E135" s="45" t="str">
        <f>MasterMaterials!E140</f>
        <v>Paver, 2-3", sf</v>
      </c>
      <c r="F135" s="45" t="str">
        <f>MasterMaterials!F140</f>
        <v/>
      </c>
      <c r="G135" s="45" t="str">
        <f>MasterMaterials!G140</f>
        <v>sf</v>
      </c>
      <c r="H135" s="45">
        <f>MasterMaterials!H140</f>
        <v>0</v>
      </c>
      <c r="I135" s="46">
        <f>MasterMaterials!I140</f>
        <v>7</v>
      </c>
      <c r="J135" s="47">
        <f>MasterMaterials!J140</f>
        <v>11.7</v>
      </c>
      <c r="K135" s="45" t="str">
        <f>MasterMaterials!K140</f>
        <v/>
      </c>
      <c r="L135" s="45" t="str">
        <f>MasterMaterials!L140</f>
        <v/>
      </c>
      <c r="M135" s="45" t="str">
        <f>MasterMaterials!M140</f>
        <v/>
      </c>
      <c r="N135" s="45" t="str">
        <f>MasterMaterials!N140</f>
        <v/>
      </c>
      <c r="O135" s="48">
        <f>MasterMaterials!O140</f>
        <v>45988</v>
      </c>
    </row>
    <row r="136">
      <c r="A136" s="45" t="str">
        <f>MasterMaterials!A141</f>
        <v>Peony cages, new, ea</v>
      </c>
      <c r="B136" s="45" t="str">
        <f>MasterMaterials!B141</f>
        <v>NEW022</v>
      </c>
      <c r="C136" s="45" t="str">
        <f>MasterMaterials!C141</f>
        <v>H</v>
      </c>
      <c r="D136" s="45" t="str">
        <f>MasterMaterials!D141</f>
        <v/>
      </c>
      <c r="E136" s="45" t="str">
        <f>MasterMaterials!E141</f>
        <v>Peony cages, new, ea</v>
      </c>
      <c r="F136" s="45" t="str">
        <f>MasterMaterials!F141</f>
        <v/>
      </c>
      <c r="G136" s="45" t="str">
        <f>MasterMaterials!G141</f>
        <v>ea</v>
      </c>
      <c r="H136" s="45">
        <f>MasterMaterials!H141</f>
        <v>0</v>
      </c>
      <c r="I136" s="46">
        <f>MasterMaterials!I141</f>
        <v>18.99</v>
      </c>
      <c r="J136" s="47">
        <f>MasterMaterials!J141</f>
        <v>18.99</v>
      </c>
      <c r="K136" s="45" t="str">
        <f>MasterMaterials!K141</f>
        <v>Y</v>
      </c>
      <c r="L136" s="45" t="str">
        <f>MasterMaterials!L141</f>
        <v/>
      </c>
      <c r="M136" s="45" t="str">
        <f>MasterMaterials!M141</f>
        <v/>
      </c>
      <c r="N136" s="45" t="str">
        <f>MasterMaterials!N141</f>
        <v/>
      </c>
      <c r="O136" s="49">
        <f>MasterMaterials!O141</f>
        <v>45989</v>
      </c>
    </row>
    <row r="137">
      <c r="A137" s="45" t="str">
        <f>MasterMaterials!A142</f>
        <v>Per Diem, daily, ea</v>
      </c>
      <c r="B137" s="45" t="str">
        <f>MasterMaterials!B142</f>
        <v>NEW023</v>
      </c>
      <c r="C137" s="45" t="str">
        <f>MasterMaterials!C142</f>
        <v>H</v>
      </c>
      <c r="D137" s="45" t="str">
        <f>MasterMaterials!D142</f>
        <v/>
      </c>
      <c r="E137" s="45" t="str">
        <f>MasterMaterials!E142</f>
        <v>Per Diem, daily, ea</v>
      </c>
      <c r="F137" s="45" t="str">
        <f>MasterMaterials!F142</f>
        <v/>
      </c>
      <c r="G137" s="45" t="str">
        <f>MasterMaterials!G142</f>
        <v>ea</v>
      </c>
      <c r="H137" s="45">
        <f>MasterMaterials!H142</f>
        <v>0</v>
      </c>
      <c r="I137" s="46">
        <f>MasterMaterials!I142</f>
        <v>68</v>
      </c>
      <c r="J137" s="47">
        <f>MasterMaterials!J142</f>
        <v>68</v>
      </c>
      <c r="K137" s="45" t="str">
        <f>MasterMaterials!K142</f>
        <v>Y</v>
      </c>
      <c r="L137" s="45" t="str">
        <f>MasterMaterials!L142</f>
        <v/>
      </c>
      <c r="M137" s="45" t="str">
        <f>MasterMaterials!M142</f>
        <v/>
      </c>
      <c r="N137" s="45" t="str">
        <f>MasterMaterials!N142</f>
        <v/>
      </c>
      <c r="O137" s="49">
        <f>MasterMaterials!O142</f>
        <v>45988</v>
      </c>
    </row>
    <row r="138">
      <c r="A138" s="45" t="str">
        <f>MasterMaterials!A143</f>
        <v>Per Diem, overnight, ea</v>
      </c>
      <c r="B138" s="45" t="str">
        <f>MasterMaterials!B143</f>
        <v>NEW024</v>
      </c>
      <c r="C138" s="45" t="str">
        <f>MasterMaterials!C143</f>
        <v>H</v>
      </c>
      <c r="D138" s="45" t="str">
        <f>MasterMaterials!D143</f>
        <v/>
      </c>
      <c r="E138" s="45" t="str">
        <f>MasterMaterials!E143</f>
        <v>Per Diem, overnight, ea</v>
      </c>
      <c r="F138" s="45" t="str">
        <f>MasterMaterials!F143</f>
        <v/>
      </c>
      <c r="G138" s="45" t="str">
        <f>MasterMaterials!G143</f>
        <v>ea</v>
      </c>
      <c r="H138" s="45">
        <f>MasterMaterials!H143</f>
        <v>0</v>
      </c>
      <c r="I138" s="46">
        <f>MasterMaterials!I143</f>
        <v>178</v>
      </c>
      <c r="J138" s="47">
        <f>MasterMaterials!J143</f>
        <v>178</v>
      </c>
      <c r="K138" s="45" t="str">
        <f>MasterMaterials!K143</f>
        <v>Y</v>
      </c>
      <c r="L138" s="45" t="str">
        <f>MasterMaterials!L143</f>
        <v/>
      </c>
      <c r="M138" s="45" t="str">
        <f>MasterMaterials!M143</f>
        <v/>
      </c>
      <c r="N138" s="45" t="str">
        <f>MasterMaterials!N143</f>
        <v/>
      </c>
      <c r="O138" s="48">
        <f>MasterMaterials!O143</f>
        <v>45988</v>
      </c>
    </row>
    <row r="139">
      <c r="A139" s="45" t="str">
        <f>MasterMaterials!A144</f>
        <v>Perennial, 1 gal, ea</v>
      </c>
      <c r="B139" s="45" t="str">
        <f>MasterMaterials!B144</f>
        <v>LMN40150784</v>
      </c>
      <c r="C139" s="45" t="str">
        <f>MasterMaterials!C144</f>
        <v>H</v>
      </c>
      <c r="D139" s="45" t="str">
        <f>MasterMaterials!D144</f>
        <v/>
      </c>
      <c r="E139" s="45" t="str">
        <f>MasterMaterials!E144</f>
        <v>Perennial, 1 gal, ea</v>
      </c>
      <c r="F139" s="45" t="str">
        <f>MasterMaterials!F144</f>
        <v/>
      </c>
      <c r="G139" s="45" t="str">
        <f>MasterMaterials!G144</f>
        <v>ea</v>
      </c>
      <c r="H139" s="45">
        <f>MasterMaterials!H144</f>
        <v>0</v>
      </c>
      <c r="I139" s="46">
        <f>MasterMaterials!I144</f>
        <v>9.5</v>
      </c>
      <c r="J139" s="47">
        <f>MasterMaterials!J144</f>
        <v>25</v>
      </c>
      <c r="K139" s="45" t="str">
        <f>MasterMaterials!K144</f>
        <v/>
      </c>
      <c r="L139" s="45" t="str">
        <f>MasterMaterials!L144</f>
        <v/>
      </c>
      <c r="M139" s="45" t="str">
        <f>MasterMaterials!M144</f>
        <v/>
      </c>
      <c r="N139" s="45" t="str">
        <f>MasterMaterials!N144</f>
        <v/>
      </c>
      <c r="O139" s="48">
        <f>MasterMaterials!O144</f>
        <v>45989</v>
      </c>
    </row>
    <row r="140">
      <c r="A140" s="45" t="str">
        <f>MasterMaterials!A145</f>
        <v>Perennial, 2 gal, ea</v>
      </c>
      <c r="B140" s="45" t="str">
        <f>MasterMaterials!B145</f>
        <v>LMN43636223</v>
      </c>
      <c r="C140" s="45" t="str">
        <f>MasterMaterials!C145</f>
        <v>H</v>
      </c>
      <c r="D140" s="45" t="str">
        <f>MasterMaterials!D145</f>
        <v/>
      </c>
      <c r="E140" s="45" t="str">
        <f>MasterMaterials!E145</f>
        <v>Perennial, 2 gal, ea</v>
      </c>
      <c r="F140" s="45" t="str">
        <f>MasterMaterials!F145</f>
        <v/>
      </c>
      <c r="G140" s="45" t="str">
        <f>MasterMaterials!G145</f>
        <v>ea</v>
      </c>
      <c r="H140" s="45">
        <f>MasterMaterials!H145</f>
        <v>0</v>
      </c>
      <c r="I140" s="46">
        <f>MasterMaterials!I145</f>
        <v>24</v>
      </c>
      <c r="J140" s="47">
        <f>MasterMaterials!J145</f>
        <v>40.12</v>
      </c>
      <c r="K140" s="45" t="str">
        <f>MasterMaterials!K145</f>
        <v/>
      </c>
      <c r="L140" s="45" t="str">
        <f>MasterMaterials!L145</f>
        <v/>
      </c>
      <c r="M140" s="45" t="str">
        <f>MasterMaterials!M145</f>
        <v/>
      </c>
      <c r="N140" s="45" t="str">
        <f>MasterMaterials!N145</f>
        <v/>
      </c>
      <c r="O140" s="48">
        <f>MasterMaterials!O145</f>
        <v>45989</v>
      </c>
    </row>
    <row r="141">
      <c r="A141" s="45" t="str">
        <f>MasterMaterials!A146</f>
        <v>Perennial, 4", ea</v>
      </c>
      <c r="B141" s="45" t="str">
        <f>MasterMaterials!B146</f>
        <v>NEW025</v>
      </c>
      <c r="C141" s="45" t="str">
        <f>MasterMaterials!C146</f>
        <v>H</v>
      </c>
      <c r="D141" s="45" t="str">
        <f>MasterMaterials!D146</f>
        <v/>
      </c>
      <c r="E141" s="45" t="str">
        <f>MasterMaterials!E146</f>
        <v>Perennial, 4", ea</v>
      </c>
      <c r="F141" s="45" t="str">
        <f>MasterMaterials!F146</f>
        <v/>
      </c>
      <c r="G141" s="45" t="str">
        <f>MasterMaterials!G146</f>
        <v>ea</v>
      </c>
      <c r="H141" s="45">
        <f>MasterMaterials!H146</f>
        <v>0</v>
      </c>
      <c r="I141" s="46">
        <f>MasterMaterials!I146</f>
        <v>8</v>
      </c>
      <c r="J141" s="47">
        <f>MasterMaterials!J146</f>
        <v>11</v>
      </c>
      <c r="K141" s="45" t="str">
        <f>MasterMaterials!K146</f>
        <v>Y</v>
      </c>
      <c r="L141" s="45" t="str">
        <f>MasterMaterials!L146</f>
        <v/>
      </c>
      <c r="M141" s="45" t="str">
        <f>MasterMaterials!M146</f>
        <v/>
      </c>
      <c r="N141" s="45" t="str">
        <f>MasterMaterials!N146</f>
        <v/>
      </c>
      <c r="O141" s="49">
        <f>MasterMaterials!O146</f>
        <v>45988</v>
      </c>
    </row>
    <row r="142">
      <c r="A142" s="45" t="str">
        <f>MasterMaterials!A147</f>
        <v>Perennial, Peony, ea</v>
      </c>
      <c r="B142" s="45" t="str">
        <f>MasterMaterials!B147</f>
        <v>NEW026</v>
      </c>
      <c r="C142" s="45" t="str">
        <f>MasterMaterials!C147</f>
        <v>H</v>
      </c>
      <c r="D142" s="45" t="str">
        <f>MasterMaterials!D147</f>
        <v/>
      </c>
      <c r="E142" s="45" t="str">
        <f>MasterMaterials!E147</f>
        <v>Perennial, Peony, ea</v>
      </c>
      <c r="F142" s="45" t="str">
        <f>MasterMaterials!F147</f>
        <v/>
      </c>
      <c r="G142" s="45" t="str">
        <f>MasterMaterials!G147</f>
        <v>ea</v>
      </c>
      <c r="H142" s="45">
        <f>MasterMaterials!H147</f>
        <v>0</v>
      </c>
      <c r="I142" s="46">
        <f>MasterMaterials!I147</f>
        <v>20</v>
      </c>
      <c r="J142" s="47">
        <f>MasterMaterials!J147</f>
        <v>55</v>
      </c>
      <c r="K142" s="45" t="str">
        <f>MasterMaterials!K147</f>
        <v>Y</v>
      </c>
      <c r="L142" s="45" t="str">
        <f>MasterMaterials!L147</f>
        <v/>
      </c>
      <c r="M142" s="45" t="str">
        <f>MasterMaterials!M147</f>
        <v/>
      </c>
      <c r="N142" s="45" t="str">
        <f>MasterMaterials!N147</f>
        <v/>
      </c>
      <c r="O142" s="49">
        <f>MasterMaterials!O147</f>
        <v>45988</v>
      </c>
    </row>
    <row r="143">
      <c r="A143" s="45" t="str">
        <f>MasterMaterials!A148</f>
        <v>Perennial, qt, ea</v>
      </c>
      <c r="B143" s="45" t="str">
        <f>MasterMaterials!B148</f>
        <v>LMN46208579</v>
      </c>
      <c r="C143" s="45" t="str">
        <f>MasterMaterials!C148</f>
        <v>H</v>
      </c>
      <c r="D143" s="45" t="str">
        <f>MasterMaterials!D148</f>
        <v/>
      </c>
      <c r="E143" s="45" t="str">
        <f>MasterMaterials!E148</f>
        <v>Perennial, qt, ea</v>
      </c>
      <c r="F143" s="45" t="str">
        <f>MasterMaterials!F148</f>
        <v/>
      </c>
      <c r="G143" s="45" t="str">
        <f>MasterMaterials!G148</f>
        <v>ea</v>
      </c>
      <c r="H143" s="45">
        <f>MasterMaterials!H148</f>
        <v>0</v>
      </c>
      <c r="I143" s="46">
        <f>MasterMaterials!I148</f>
        <v>8.36</v>
      </c>
      <c r="J143" s="47">
        <f>MasterMaterials!J148</f>
        <v>13.97</v>
      </c>
      <c r="K143" s="45" t="str">
        <f>MasterMaterials!K148</f>
        <v/>
      </c>
      <c r="L143" s="45" t="str">
        <f>MasterMaterials!L148</f>
        <v/>
      </c>
      <c r="M143" s="45" t="str">
        <f>MasterMaterials!M148</f>
        <v/>
      </c>
      <c r="N143" s="45" t="str">
        <f>MasterMaterials!N148</f>
        <v/>
      </c>
      <c r="O143" s="48">
        <f>MasterMaterials!O148</f>
        <v>45860</v>
      </c>
    </row>
    <row r="144">
      <c r="A144" s="45" t="str">
        <f>MasterMaterials!A149</f>
        <v>Perennial, Woody 1 gal (Kinnick, Mahonia, Rabbitbrush), ea</v>
      </c>
      <c r="B144" s="45" t="str">
        <f>MasterMaterials!B149</f>
        <v>LMN40150785</v>
      </c>
      <c r="C144" s="45" t="str">
        <f>MasterMaterials!C149</f>
        <v>H</v>
      </c>
      <c r="D144" s="45" t="str">
        <f>MasterMaterials!D149</f>
        <v/>
      </c>
      <c r="E144" s="45" t="str">
        <f>MasterMaterials!E149</f>
        <v>Perennial, Woody 1 gal (Kinnick, Mahonia, Rabbitbrush), ea</v>
      </c>
      <c r="F144" s="45" t="str">
        <f>MasterMaterials!F149</f>
        <v/>
      </c>
      <c r="G144" s="45" t="str">
        <f>MasterMaterials!G149</f>
        <v>ea</v>
      </c>
      <c r="H144" s="45">
        <f>MasterMaterials!H149</f>
        <v>0</v>
      </c>
      <c r="I144" s="46">
        <f>MasterMaterials!I149</f>
        <v>17</v>
      </c>
      <c r="J144" s="47">
        <f>MasterMaterials!J149</f>
        <v>28.42</v>
      </c>
      <c r="K144" s="45" t="str">
        <f>MasterMaterials!K149</f>
        <v/>
      </c>
      <c r="L144" s="45" t="str">
        <f>MasterMaterials!L149</f>
        <v/>
      </c>
      <c r="M144" s="45" t="str">
        <f>MasterMaterials!M149</f>
        <v/>
      </c>
      <c r="N144" s="45" t="str">
        <f>MasterMaterials!N149</f>
        <v/>
      </c>
      <c r="O144" s="49">
        <f>MasterMaterials!O149</f>
        <v>45988</v>
      </c>
    </row>
    <row r="145">
      <c r="A145" s="45" t="str">
        <f>MasterMaterials!A150</f>
        <v>PGV Valve, ea</v>
      </c>
      <c r="B145" s="45" t="str">
        <f>MasterMaterials!B150</f>
        <v>NEW046</v>
      </c>
      <c r="C145" s="45" t="str">
        <f>MasterMaterials!C150</f>
        <v>H</v>
      </c>
      <c r="D145" s="45" t="str">
        <f>MasterMaterials!D150</f>
        <v/>
      </c>
      <c r="E145" s="45" t="str">
        <f>MasterMaterials!E150</f>
        <v>PGV Valve</v>
      </c>
      <c r="F145" s="45" t="str">
        <f>MasterMaterials!F150</f>
        <v/>
      </c>
      <c r="G145" s="45" t="str">
        <f>MasterMaterials!G150</f>
        <v>ea</v>
      </c>
      <c r="H145" s="45">
        <f>MasterMaterials!H150</f>
        <v>0</v>
      </c>
      <c r="I145" s="46">
        <f>MasterMaterials!I150</f>
        <v>13.96</v>
      </c>
      <c r="J145" s="47">
        <f>MasterMaterials!J150</f>
        <v>32.65</v>
      </c>
      <c r="K145" s="45" t="str">
        <f>MasterMaterials!K150</f>
        <v/>
      </c>
      <c r="L145" s="45" t="str">
        <f>MasterMaterials!L150</f>
        <v/>
      </c>
      <c r="M145" s="45" t="str">
        <f>MasterMaterials!M150</f>
        <v/>
      </c>
      <c r="N145" s="45" t="str">
        <f>MasterMaterials!N150</f>
        <v/>
      </c>
      <c r="O145" s="48">
        <f>MasterMaterials!O150</f>
        <v>45989</v>
      </c>
    </row>
    <row r="146">
      <c r="A146" s="45" t="str">
        <f>MasterMaterials!A151</f>
        <v>Pine, Austrian/Scotch/Ponderosa, 10', ea</v>
      </c>
      <c r="B146" s="45" t="str">
        <f>MasterMaterials!B151</f>
        <v>LMN40150775</v>
      </c>
      <c r="C146" s="45" t="str">
        <f>MasterMaterials!C151</f>
        <v>H</v>
      </c>
      <c r="D146" s="45" t="str">
        <f>MasterMaterials!D151</f>
        <v/>
      </c>
      <c r="E146" s="45" t="str">
        <f>MasterMaterials!E151</f>
        <v>Pine, Austrian/Scotch/Ponderosa, 10', ea</v>
      </c>
      <c r="F146" s="45" t="str">
        <f>MasterMaterials!F151</f>
        <v/>
      </c>
      <c r="G146" s="45" t="str">
        <f>MasterMaterials!G151</f>
        <v>ea</v>
      </c>
      <c r="H146" s="45">
        <f>MasterMaterials!H151</f>
        <v>0</v>
      </c>
      <c r="I146" s="46">
        <f>MasterMaterials!I151</f>
        <v>595</v>
      </c>
      <c r="J146" s="47">
        <f>MasterMaterials!J151</f>
        <v>876.15</v>
      </c>
      <c r="K146" s="45" t="str">
        <f>MasterMaterials!K151</f>
        <v>Y</v>
      </c>
      <c r="L146" s="45" t="str">
        <f>MasterMaterials!L151</f>
        <v/>
      </c>
      <c r="M146" s="45" t="str">
        <f>MasterMaterials!M151</f>
        <v/>
      </c>
      <c r="N146" s="45" t="str">
        <f>MasterMaterials!N151</f>
        <v/>
      </c>
      <c r="O146" s="48">
        <f>MasterMaterials!O151</f>
        <v>45988</v>
      </c>
    </row>
    <row r="147">
      <c r="A147" s="45" t="str">
        <f>MasterMaterials!A152</f>
        <v>Pine, Austrian/Scotch/Ponderosa, 12', ea</v>
      </c>
      <c r="B147" s="45" t="str">
        <f>MasterMaterials!B152</f>
        <v>LMN44245325</v>
      </c>
      <c r="C147" s="45" t="str">
        <f>MasterMaterials!C152</f>
        <v>H</v>
      </c>
      <c r="D147" s="45" t="str">
        <f>MasterMaterials!D152</f>
        <v/>
      </c>
      <c r="E147" s="45" t="str">
        <f>MasterMaterials!E152</f>
        <v>Pine, Austrian/Scotch/Ponderosa, 12', ea</v>
      </c>
      <c r="F147" s="45" t="str">
        <f>MasterMaterials!F152</f>
        <v/>
      </c>
      <c r="G147" s="45" t="str">
        <f>MasterMaterials!G152</f>
        <v>ea</v>
      </c>
      <c r="H147" s="45">
        <f>MasterMaterials!H152</f>
        <v>0</v>
      </c>
      <c r="I147" s="46">
        <f>MasterMaterials!I152</f>
        <v>700</v>
      </c>
      <c r="J147" s="47">
        <f>MasterMaterials!J152</f>
        <v>1170.06</v>
      </c>
      <c r="K147" s="45" t="str">
        <f>MasterMaterials!K152</f>
        <v/>
      </c>
      <c r="L147" s="45" t="str">
        <f>MasterMaterials!L152</f>
        <v/>
      </c>
      <c r="M147" s="45" t="str">
        <f>MasterMaterials!M152</f>
        <v/>
      </c>
      <c r="N147" s="45" t="str">
        <f>MasterMaterials!N152</f>
        <v/>
      </c>
      <c r="O147" s="48">
        <f>MasterMaterials!O152</f>
        <v>45988</v>
      </c>
    </row>
    <row r="148">
      <c r="A148" s="45" t="str">
        <f>MasterMaterials!A153</f>
        <v>Pine, Austrian/Scotch/Ponderosa, 6', ea</v>
      </c>
      <c r="B148" s="45" t="str">
        <f>MasterMaterials!B153</f>
        <v>LMN40150773</v>
      </c>
      <c r="C148" s="45" t="str">
        <f>MasterMaterials!C153</f>
        <v>H</v>
      </c>
      <c r="D148" s="45" t="str">
        <f>MasterMaterials!D153</f>
        <v/>
      </c>
      <c r="E148" s="45" t="str">
        <f>MasterMaterials!E153</f>
        <v>Pine, Austrian/Scotch/Ponderosa, 6', ea</v>
      </c>
      <c r="F148" s="45" t="str">
        <f>MasterMaterials!F153</f>
        <v/>
      </c>
      <c r="G148" s="45" t="str">
        <f>MasterMaterials!G153</f>
        <v>ea</v>
      </c>
      <c r="H148" s="45">
        <f>MasterMaterials!H153</f>
        <v>0</v>
      </c>
      <c r="I148" s="46">
        <f>MasterMaterials!I153</f>
        <v>352</v>
      </c>
      <c r="J148" s="47">
        <f>MasterMaterials!J153</f>
        <v>561</v>
      </c>
      <c r="K148" s="45" t="str">
        <f>MasterMaterials!K153</f>
        <v>Y</v>
      </c>
      <c r="L148" s="45" t="str">
        <f>MasterMaterials!L153</f>
        <v/>
      </c>
      <c r="M148" s="45" t="str">
        <f>MasterMaterials!M153</f>
        <v/>
      </c>
      <c r="N148" s="45" t="str">
        <f>MasterMaterials!N153</f>
        <v/>
      </c>
      <c r="O148" s="48">
        <f>MasterMaterials!O153</f>
        <v>45988</v>
      </c>
    </row>
    <row r="149">
      <c r="A149" s="45" t="str">
        <f>MasterMaterials!A154</f>
        <v>Pine, Austrian/Scotch/Ponderosa, 8', ea</v>
      </c>
      <c r="B149" s="45" t="str">
        <f>MasterMaterials!B154</f>
        <v>LMN40150774</v>
      </c>
      <c r="C149" s="45" t="str">
        <f>MasterMaterials!C154</f>
        <v>H</v>
      </c>
      <c r="D149" s="45" t="str">
        <f>MasterMaterials!D154</f>
        <v/>
      </c>
      <c r="E149" s="45" t="str">
        <f>MasterMaterials!E154</f>
        <v>Pine, Austrian/Scotch/Ponderosa, 8', ea</v>
      </c>
      <c r="F149" s="45" t="str">
        <f>MasterMaterials!F154</f>
        <v/>
      </c>
      <c r="G149" s="45" t="str">
        <f>MasterMaterials!G154</f>
        <v>ea</v>
      </c>
      <c r="H149" s="45">
        <f>MasterMaterials!H154</f>
        <v>0</v>
      </c>
      <c r="I149" s="46">
        <f>MasterMaterials!I154</f>
        <v>452</v>
      </c>
      <c r="J149" s="47">
        <f>MasterMaterials!J154</f>
        <v>738</v>
      </c>
      <c r="K149" s="45" t="str">
        <f>MasterMaterials!K154</f>
        <v>Y</v>
      </c>
      <c r="L149" s="45" t="str">
        <f>MasterMaterials!L154</f>
        <v/>
      </c>
      <c r="M149" s="45" t="str">
        <f>MasterMaterials!M154</f>
        <v/>
      </c>
      <c r="N149" s="45" t="str">
        <f>MasterMaterials!N154</f>
        <v/>
      </c>
      <c r="O149" s="48">
        <f>MasterMaterials!O154</f>
        <v>45988</v>
      </c>
    </row>
    <row r="150">
      <c r="A150" s="45" t="str">
        <f>MasterMaterials!A155</f>
        <v>Plant, Misc, $</v>
      </c>
      <c r="B150" s="45" t="str">
        <f>MasterMaterials!B155</f>
        <v>LMN40150787</v>
      </c>
      <c r="C150" s="45" t="str">
        <f>MasterMaterials!C155</f>
        <v>H</v>
      </c>
      <c r="D150" s="45" t="str">
        <f>MasterMaterials!D155</f>
        <v/>
      </c>
      <c r="E150" s="45" t="str">
        <f>MasterMaterials!E155</f>
        <v>Plant, Misc, $</v>
      </c>
      <c r="F150" s="45" t="str">
        <f>MasterMaterials!F155</f>
        <v/>
      </c>
      <c r="G150" s="45" t="str">
        <f>MasterMaterials!G155</f>
        <v>$</v>
      </c>
      <c r="H150" s="45">
        <f>MasterMaterials!H155</f>
        <v>0</v>
      </c>
      <c r="I150" s="46">
        <f>MasterMaterials!I155</f>
        <v>1</v>
      </c>
      <c r="J150" s="47">
        <f>MasterMaterials!J155</f>
        <v>1.67</v>
      </c>
      <c r="K150" s="45" t="str">
        <f>MasterMaterials!K155</f>
        <v/>
      </c>
      <c r="L150" s="45" t="str">
        <f>MasterMaterials!L155</f>
        <v/>
      </c>
      <c r="M150" s="45" t="str">
        <f>MasterMaterials!M155</f>
        <v/>
      </c>
      <c r="N150" s="45" t="str">
        <f>MasterMaterials!N155</f>
        <v/>
      </c>
      <c r="O150" s="48">
        <f>MasterMaterials!O155</f>
        <v>45988</v>
      </c>
    </row>
    <row r="151">
      <c r="A151" s="45" t="str">
        <f>MasterMaterials!A156</f>
        <v>Plants, Shrub, Miscellaneous, ea</v>
      </c>
      <c r="B151" s="45" t="str">
        <f>MasterMaterials!B156</f>
        <v>NEW027</v>
      </c>
      <c r="C151" s="45" t="str">
        <f>MasterMaterials!C156</f>
        <v>H</v>
      </c>
      <c r="D151" s="45" t="str">
        <f>MasterMaterials!D156</f>
        <v/>
      </c>
      <c r="E151" s="45" t="str">
        <f>MasterMaterials!E156</f>
        <v>Plants, Shrub, Miscellaneous, ea</v>
      </c>
      <c r="F151" s="45" t="str">
        <f>MasterMaterials!F156</f>
        <v/>
      </c>
      <c r="G151" s="45" t="str">
        <f>MasterMaterials!G156</f>
        <v>ea</v>
      </c>
      <c r="H151" s="45">
        <f>MasterMaterials!H156</f>
        <v>0</v>
      </c>
      <c r="I151" s="46">
        <f>MasterMaterials!I156</f>
        <v>1</v>
      </c>
      <c r="J151" s="47">
        <f>MasterMaterials!J156</f>
        <v>1.67</v>
      </c>
      <c r="K151" s="45" t="str">
        <f>MasterMaterials!K156</f>
        <v/>
      </c>
      <c r="L151" s="45" t="str">
        <f>MasterMaterials!L156</f>
        <v/>
      </c>
      <c r="M151" s="45" t="str">
        <f>MasterMaterials!M156</f>
        <v/>
      </c>
      <c r="N151" s="45" t="str">
        <f>MasterMaterials!N156</f>
        <v/>
      </c>
      <c r="O151" s="48">
        <f>MasterMaterials!O156</f>
        <v>45988</v>
      </c>
    </row>
    <row r="152">
      <c r="A152" s="45" t="str">
        <f>MasterMaterials!A157</f>
        <v>Poly Slip Fix, ea</v>
      </c>
      <c r="B152" s="45" t="str">
        <f>MasterMaterials!B157</f>
        <v>NEW045</v>
      </c>
      <c r="C152" s="45" t="str">
        <f>MasterMaterials!C157</f>
        <v>H</v>
      </c>
      <c r="D152" s="45" t="str">
        <f>MasterMaterials!D157</f>
        <v/>
      </c>
      <c r="E152" s="45" t="str">
        <f>MasterMaterials!E157</f>
        <v>Poly Slip Fix, ea</v>
      </c>
      <c r="F152" s="45" t="str">
        <f>MasterMaterials!F157</f>
        <v/>
      </c>
      <c r="G152" s="45" t="str">
        <f>MasterMaterials!G157</f>
        <v>ea</v>
      </c>
      <c r="H152" s="45">
        <f>MasterMaterials!H157</f>
        <v>0</v>
      </c>
      <c r="I152" s="46">
        <f>MasterMaterials!I157</f>
        <v>5.59</v>
      </c>
      <c r="J152" s="47">
        <f>MasterMaterials!J157</f>
        <v>11.19</v>
      </c>
      <c r="K152" s="45" t="str">
        <f>MasterMaterials!K157</f>
        <v>Y</v>
      </c>
      <c r="L152" s="50" t="str">
        <f>MasterMaterials!L157</f>
        <v/>
      </c>
      <c r="M152" s="45" t="str">
        <f>MasterMaterials!M157</f>
        <v/>
      </c>
      <c r="N152" s="45" t="str">
        <f>MasterMaterials!N157</f>
        <v/>
      </c>
      <c r="O152" s="48">
        <f>MasterMaterials!O157</f>
        <v>45989</v>
      </c>
    </row>
    <row r="153">
      <c r="A153" s="45" t="str">
        <f>MasterMaterials!A158</f>
        <v>Potting soil, bag, ea</v>
      </c>
      <c r="B153" s="45" t="str">
        <f>MasterMaterials!B158</f>
        <v>NEW028</v>
      </c>
      <c r="C153" s="45" t="str">
        <f>MasterMaterials!C158</f>
        <v>H</v>
      </c>
      <c r="D153" s="45" t="str">
        <f>MasterMaterials!D158</f>
        <v/>
      </c>
      <c r="E153" s="45" t="str">
        <f>MasterMaterials!E158</f>
        <v>Potting soil, bag, ea</v>
      </c>
      <c r="F153" s="45" t="str">
        <f>MasterMaterials!F158</f>
        <v/>
      </c>
      <c r="G153" s="45" t="str">
        <f>MasterMaterials!G158</f>
        <v>ea</v>
      </c>
      <c r="H153" s="45">
        <f>MasterMaterials!H158</f>
        <v>0</v>
      </c>
      <c r="I153" s="46">
        <f>MasterMaterials!I158</f>
        <v>10.77</v>
      </c>
      <c r="J153" s="47">
        <f>MasterMaterials!J158</f>
        <v>27</v>
      </c>
      <c r="K153" s="45" t="str">
        <f>MasterMaterials!K158</f>
        <v>Y</v>
      </c>
      <c r="L153" s="50" t="str">
        <f>MasterMaterials!L158</f>
        <v/>
      </c>
      <c r="M153" s="45" t="str">
        <f>MasterMaterials!M158</f>
        <v/>
      </c>
      <c r="N153" s="45" t="str">
        <f>MasterMaterials!N158</f>
        <v/>
      </c>
      <c r="O153" s="48">
        <f>MasterMaterials!O158</f>
        <v>45988</v>
      </c>
    </row>
    <row r="154">
      <c r="A154" s="45" t="str">
        <f>MasterMaterials!A159</f>
        <v>Preene, bucket, ea</v>
      </c>
      <c r="B154" s="45" t="str">
        <f>MasterMaterials!B159</f>
        <v>NEW049</v>
      </c>
      <c r="C154" s="45" t="str">
        <f>MasterMaterials!C159</f>
        <v/>
      </c>
      <c r="D154" s="45" t="str">
        <f>MasterMaterials!D159</f>
        <v/>
      </c>
      <c r="E154" s="45" t="str">
        <f>MasterMaterials!E159</f>
        <v>Preene, bucket, ea</v>
      </c>
      <c r="F154" s="45" t="str">
        <f>MasterMaterials!F159</f>
        <v/>
      </c>
      <c r="G154" s="45" t="str">
        <f>MasterMaterials!G159</f>
        <v>ea</v>
      </c>
      <c r="H154" s="45" t="str">
        <f>MasterMaterials!H159</f>
        <v/>
      </c>
      <c r="I154" s="46">
        <f>MasterMaterials!I159</f>
        <v>32.9</v>
      </c>
      <c r="J154" s="47">
        <f>MasterMaterials!J159</f>
        <v>50</v>
      </c>
      <c r="K154" s="45" t="str">
        <f>MasterMaterials!K159</f>
        <v/>
      </c>
      <c r="L154" s="50" t="str">
        <f>MasterMaterials!L159</f>
        <v/>
      </c>
      <c r="M154" s="45" t="str">
        <f>MasterMaterials!M159</f>
        <v/>
      </c>
      <c r="N154" s="45" t="str">
        <f>MasterMaterials!N159</f>
        <v/>
      </c>
      <c r="O154" s="48" t="str">
        <f>MasterMaterials!O159</f>
        <v/>
      </c>
    </row>
    <row r="155">
      <c r="A155" s="45" t="str">
        <f>MasterMaterials!A160</f>
        <v>Rain Sensor, ea</v>
      </c>
      <c r="B155" s="45" t="str">
        <f>MasterMaterials!B160</f>
        <v>LMN40150703</v>
      </c>
      <c r="C155" s="45" t="str">
        <f>MasterMaterials!C160</f>
        <v>H</v>
      </c>
      <c r="D155" s="45" t="str">
        <f>MasterMaterials!D160</f>
        <v/>
      </c>
      <c r="E155" s="45" t="str">
        <f>MasterMaterials!E160</f>
        <v>Rain Sensor, ea</v>
      </c>
      <c r="F155" s="45" t="str">
        <f>MasterMaterials!F160</f>
        <v/>
      </c>
      <c r="G155" s="45" t="str">
        <f>MasterMaterials!G160</f>
        <v>ea</v>
      </c>
      <c r="H155" s="45">
        <f>MasterMaterials!H160</f>
        <v>0</v>
      </c>
      <c r="I155" s="46">
        <f>MasterMaterials!I160</f>
        <v>75.05</v>
      </c>
      <c r="J155" s="47">
        <f>MasterMaterials!J160</f>
        <v>144.32</v>
      </c>
      <c r="K155" s="45" t="str">
        <f>MasterMaterials!K160</f>
        <v>Y</v>
      </c>
      <c r="L155" s="50" t="str">
        <f>MasterMaterials!L160</f>
        <v/>
      </c>
      <c r="M155" s="45" t="str">
        <f>MasterMaterials!M160</f>
        <v/>
      </c>
      <c r="N155" s="45" t="str">
        <f>MasterMaterials!N160</f>
        <v/>
      </c>
      <c r="O155" s="48">
        <f>MasterMaterials!O160</f>
        <v>45988</v>
      </c>
    </row>
    <row r="156">
      <c r="A156" s="45" t="str">
        <f>MasterMaterials!A161</f>
        <v>Rainbird 1806</v>
      </c>
      <c r="B156" s="45" t="str">
        <f>MasterMaterials!B161</f>
        <v>LMN42185596</v>
      </c>
      <c r="C156" s="45" t="str">
        <f>MasterMaterials!C161</f>
        <v>H</v>
      </c>
      <c r="D156" s="45" t="str">
        <f>MasterMaterials!D161</f>
        <v/>
      </c>
      <c r="E156" s="45" t="str">
        <f>MasterMaterials!E161</f>
        <v>Rainbird 1806</v>
      </c>
      <c r="F156" s="45" t="str">
        <f>MasterMaterials!F161</f>
        <v/>
      </c>
      <c r="G156" s="45" t="str">
        <f>MasterMaterials!G161</f>
        <v>ea</v>
      </c>
      <c r="H156" s="45">
        <f>MasterMaterials!H161</f>
        <v>0</v>
      </c>
      <c r="I156" s="46">
        <f>MasterMaterials!I161</f>
        <v>8.36</v>
      </c>
      <c r="J156" s="47">
        <f>MasterMaterials!J161</f>
        <v>12.65</v>
      </c>
      <c r="K156" s="45" t="str">
        <f>MasterMaterials!K161</f>
        <v>Y</v>
      </c>
      <c r="L156" s="45" t="str">
        <f>MasterMaterials!L161</f>
        <v/>
      </c>
      <c r="M156" s="45" t="str">
        <f>MasterMaterials!M161</f>
        <v/>
      </c>
      <c r="N156" s="45" t="str">
        <f>MasterMaterials!N161</f>
        <v/>
      </c>
      <c r="O156" s="48">
        <f>MasterMaterials!O161</f>
        <v>45988</v>
      </c>
    </row>
    <row r="157">
      <c r="A157" s="45" t="str">
        <f>MasterMaterials!A162</f>
        <v>Rainbird ESP-SM6 module</v>
      </c>
      <c r="B157" s="45" t="str">
        <f>MasterMaterials!B162</f>
        <v>LMN44195431</v>
      </c>
      <c r="C157" s="45" t="str">
        <f>MasterMaterials!C162</f>
        <v>H</v>
      </c>
      <c r="D157" s="45" t="str">
        <f>MasterMaterials!D162</f>
        <v/>
      </c>
      <c r="E157" s="45" t="str">
        <f>MasterMaterials!E162</f>
        <v>Rainbird ESP-SM6 module</v>
      </c>
      <c r="F157" s="45" t="str">
        <f>MasterMaterials!F162</f>
        <v/>
      </c>
      <c r="G157" s="45" t="str">
        <f>MasterMaterials!G162</f>
        <v>ea</v>
      </c>
      <c r="H157" s="45">
        <f>MasterMaterials!H162</f>
        <v>0</v>
      </c>
      <c r="I157" s="46">
        <f>MasterMaterials!I162</f>
        <v>74.31</v>
      </c>
      <c r="J157" s="47">
        <f>MasterMaterials!J162</f>
        <v>148.62</v>
      </c>
      <c r="K157" s="45" t="str">
        <f>MasterMaterials!K162</f>
        <v/>
      </c>
      <c r="L157" s="45" t="str">
        <f>MasterMaterials!L162</f>
        <v/>
      </c>
      <c r="M157" s="45" t="str">
        <f>MasterMaterials!M162</f>
        <v/>
      </c>
      <c r="N157" s="45" t="str">
        <f>MasterMaterials!N162</f>
        <v/>
      </c>
      <c r="O157" s="48">
        <f>MasterMaterials!O162</f>
        <v>45705</v>
      </c>
    </row>
    <row r="158">
      <c r="A158" s="45" t="str">
        <f>MasterMaterials!A163</f>
        <v>Rainbird ESP4ME3</v>
      </c>
      <c r="B158" s="45" t="str">
        <f>MasterMaterials!B163</f>
        <v>LMN44195430</v>
      </c>
      <c r="C158" s="45" t="str">
        <f>MasterMaterials!C163</f>
        <v>H</v>
      </c>
      <c r="D158" s="45" t="str">
        <f>MasterMaterials!D163</f>
        <v/>
      </c>
      <c r="E158" s="45" t="str">
        <f>MasterMaterials!E163</f>
        <v>Rainbird ESP4ME3</v>
      </c>
      <c r="F158" s="45" t="str">
        <f>MasterMaterials!F163</f>
        <v/>
      </c>
      <c r="G158" s="45" t="str">
        <f>MasterMaterials!G163</f>
        <v>ea</v>
      </c>
      <c r="H158" s="45">
        <f>MasterMaterials!H163</f>
        <v>0</v>
      </c>
      <c r="I158" s="46">
        <f>MasterMaterials!I163</f>
        <v>136.82</v>
      </c>
      <c r="J158" s="47">
        <f>MasterMaterials!J163</f>
        <v>273.65</v>
      </c>
      <c r="K158" s="45" t="str">
        <f>MasterMaterials!K163</f>
        <v/>
      </c>
      <c r="L158" s="45" t="str">
        <f>MasterMaterials!L163</f>
        <v/>
      </c>
      <c r="M158" s="45" t="str">
        <f>MasterMaterials!M163</f>
        <v/>
      </c>
      <c r="N158" s="45" t="str">
        <f>MasterMaterials!N163</f>
        <v/>
      </c>
      <c r="O158" s="48">
        <f>MasterMaterials!O163</f>
        <v>45705</v>
      </c>
    </row>
    <row r="159">
      <c r="A159" s="45" t="str">
        <f>MasterMaterials!A164</f>
        <v>Rebar, 1/2", ft</v>
      </c>
      <c r="B159" s="45" t="str">
        <f>MasterMaterials!B164</f>
        <v>LMN40150739</v>
      </c>
      <c r="C159" s="45" t="str">
        <f>MasterMaterials!C164</f>
        <v>H</v>
      </c>
      <c r="D159" s="45" t="str">
        <f>MasterMaterials!D164</f>
        <v/>
      </c>
      <c r="E159" s="45" t="str">
        <f>MasterMaterials!E164</f>
        <v>Rebar, 1/2", ft</v>
      </c>
      <c r="F159" s="45" t="str">
        <f>MasterMaterials!F164</f>
        <v/>
      </c>
      <c r="G159" s="45" t="str">
        <f>MasterMaterials!G164</f>
        <v>ft</v>
      </c>
      <c r="H159" s="45">
        <f>MasterMaterials!H164</f>
        <v>0</v>
      </c>
      <c r="I159" s="46">
        <f>MasterMaterials!I164</f>
        <v>0.43</v>
      </c>
      <c r="J159" s="47">
        <f>MasterMaterials!J164</f>
        <v>1.2</v>
      </c>
      <c r="K159" s="45" t="str">
        <f>MasterMaterials!K164</f>
        <v>Y</v>
      </c>
      <c r="L159" s="45" t="str">
        <f>MasterMaterials!L164</f>
        <v/>
      </c>
      <c r="M159" s="45" t="str">
        <f>MasterMaterials!M164</f>
        <v/>
      </c>
      <c r="N159" s="45" t="str">
        <f>MasterMaterials!N164</f>
        <v/>
      </c>
      <c r="O159" s="48">
        <f>MasterMaterials!O164</f>
        <v>45988</v>
      </c>
    </row>
    <row r="160">
      <c r="A160" s="45" t="str">
        <f>MasterMaterials!A165</f>
        <v>Road Mix, (1" or 3"), yd</v>
      </c>
      <c r="B160" s="45" t="str">
        <f>MasterMaterials!B165</f>
        <v>LMN40150727</v>
      </c>
      <c r="C160" s="45" t="str">
        <f>MasterMaterials!C165</f>
        <v>H</v>
      </c>
      <c r="D160" s="45" t="str">
        <f>MasterMaterials!D165</f>
        <v/>
      </c>
      <c r="E160" s="45" t="str">
        <f>MasterMaterials!E165</f>
        <v>Road Mix, (1" or 3"), yd</v>
      </c>
      <c r="F160" s="45" t="str">
        <f>MasterMaterials!F165</f>
        <v/>
      </c>
      <c r="G160" s="45" t="str">
        <f>MasterMaterials!G165</f>
        <v>yd</v>
      </c>
      <c r="H160" s="45">
        <f>MasterMaterials!H165</f>
        <v>0</v>
      </c>
      <c r="I160" s="46">
        <f>MasterMaterials!I165</f>
        <v>24</v>
      </c>
      <c r="J160" s="47">
        <f>MasterMaterials!J165</f>
        <v>40.12</v>
      </c>
      <c r="K160" s="45" t="str">
        <f>MasterMaterials!K165</f>
        <v/>
      </c>
      <c r="L160" s="45" t="str">
        <f>MasterMaterials!L165</f>
        <v/>
      </c>
      <c r="M160" s="45" t="str">
        <f>MasterMaterials!M165</f>
        <v/>
      </c>
      <c r="N160" s="45" t="str">
        <f>MasterMaterials!N165</f>
        <v/>
      </c>
      <c r="O160" s="48">
        <f>MasterMaterials!O165</f>
        <v>45988</v>
      </c>
    </row>
    <row r="161">
      <c r="A161" s="45" t="str">
        <f>MasterMaterials!A166</f>
        <v>Root Start, gal</v>
      </c>
      <c r="B161" s="45" t="str">
        <f>MasterMaterials!B166</f>
        <v>NEW030</v>
      </c>
      <c r="C161" s="45" t="str">
        <f>MasterMaterials!C166</f>
        <v>H</v>
      </c>
      <c r="D161" s="45" t="str">
        <f>MasterMaterials!D166</f>
        <v/>
      </c>
      <c r="E161" s="45" t="str">
        <f>MasterMaterials!E166</f>
        <v>Root Start, gal</v>
      </c>
      <c r="F161" s="45" t="str">
        <f>MasterMaterials!F166</f>
        <v/>
      </c>
      <c r="G161" s="45" t="str">
        <f>MasterMaterials!G166</f>
        <v>gal</v>
      </c>
      <c r="H161" s="45">
        <f>MasterMaterials!H166</f>
        <v>0</v>
      </c>
      <c r="I161" s="46">
        <f>MasterMaterials!I166</f>
        <v>47</v>
      </c>
      <c r="J161" s="47">
        <f>MasterMaterials!J166</f>
        <v>47</v>
      </c>
      <c r="K161" s="45" t="str">
        <f>MasterMaterials!K166</f>
        <v>Y</v>
      </c>
      <c r="L161" s="45" t="str">
        <f>MasterMaterials!L166</f>
        <v/>
      </c>
      <c r="M161" s="45" t="str">
        <f>MasterMaterials!M166</f>
        <v/>
      </c>
      <c r="N161" s="45" t="str">
        <f>MasterMaterials!N166</f>
        <v/>
      </c>
      <c r="O161" s="48">
        <f>MasterMaterials!O166</f>
        <v>45988</v>
      </c>
    </row>
    <row r="162">
      <c r="A162" s="45" t="str">
        <f>MasterMaterials!A167</f>
        <v>Roundup, gal</v>
      </c>
      <c r="B162" s="45" t="str">
        <f>MasterMaterials!B167</f>
        <v>NEW031</v>
      </c>
      <c r="C162" s="45" t="str">
        <f>MasterMaterials!C167</f>
        <v>H</v>
      </c>
      <c r="D162" s="45" t="str">
        <f>MasterMaterials!D167</f>
        <v/>
      </c>
      <c r="E162" s="45" t="str">
        <f>MasterMaterials!E167</f>
        <v>Roundup, gal</v>
      </c>
      <c r="F162" s="45" t="str">
        <f>MasterMaterials!F167</f>
        <v/>
      </c>
      <c r="G162" s="45" t="str">
        <f>MasterMaterials!G167</f>
        <v>gal</v>
      </c>
      <c r="H162" s="45">
        <f>MasterMaterials!H167</f>
        <v>0</v>
      </c>
      <c r="I162" s="46">
        <f>MasterMaterials!I167</f>
        <v>25.97</v>
      </c>
      <c r="J162" s="47">
        <f>MasterMaterials!J167</f>
        <v>32.46</v>
      </c>
      <c r="K162" s="45" t="str">
        <f>MasterMaterials!K167</f>
        <v>Y</v>
      </c>
      <c r="L162" s="45" t="str">
        <f>MasterMaterials!L167</f>
        <v/>
      </c>
      <c r="M162" s="45" t="str">
        <f>MasterMaterials!M167</f>
        <v/>
      </c>
      <c r="N162" s="45" t="str">
        <f>MasterMaterials!N167</f>
        <v/>
      </c>
      <c r="O162" s="48">
        <f>MasterMaterials!O167</f>
        <v>46129</v>
      </c>
    </row>
    <row r="163">
      <c r="A163" s="45" t="str">
        <f>MasterMaterials!A168</f>
        <v>Scree, Flatwillow, ton</v>
      </c>
      <c r="B163" s="45" t="str">
        <f>MasterMaterials!B168</f>
        <v>LMN40150709</v>
      </c>
      <c r="C163" s="45" t="str">
        <f>MasterMaterials!C168</f>
        <v>H</v>
      </c>
      <c r="D163" s="45" t="str">
        <f>MasterMaterials!D168</f>
        <v/>
      </c>
      <c r="E163" s="45" t="str">
        <f>MasterMaterials!E168</f>
        <v>Scree, Flatwillow, ton</v>
      </c>
      <c r="F163" s="45" t="str">
        <f>MasterMaterials!F168</f>
        <v/>
      </c>
      <c r="G163" s="45" t="str">
        <f>MasterMaterials!G168</f>
        <v>ton</v>
      </c>
      <c r="H163" s="45">
        <f>MasterMaterials!H168</f>
        <v>0</v>
      </c>
      <c r="I163" s="46">
        <f>MasterMaterials!I168</f>
        <v>450</v>
      </c>
      <c r="J163" s="47">
        <f>MasterMaterials!J168</f>
        <v>650</v>
      </c>
      <c r="K163" s="45" t="str">
        <f>MasterMaterials!K168</f>
        <v/>
      </c>
      <c r="L163" s="45" t="str">
        <f>MasterMaterials!L168</f>
        <v/>
      </c>
      <c r="M163" s="45" t="str">
        <f>MasterMaterials!M168</f>
        <v/>
      </c>
      <c r="N163" s="45" t="str">
        <f>MasterMaterials!N168</f>
        <v/>
      </c>
      <c r="O163" s="48">
        <f>MasterMaterials!O168</f>
        <v>45988</v>
      </c>
    </row>
    <row r="164">
      <c r="A164" s="45" t="str">
        <f>MasterMaterials!A169</f>
        <v>Seed Mix, Lawn, lb</v>
      </c>
      <c r="B164" s="45" t="str">
        <f>MasterMaterials!B169</f>
        <v>LMN40150789</v>
      </c>
      <c r="C164" s="45" t="str">
        <f>MasterMaterials!C169</f>
        <v>H</v>
      </c>
      <c r="D164" s="45" t="str">
        <f>MasterMaterials!D169</f>
        <v/>
      </c>
      <c r="E164" s="45" t="str">
        <f>MasterMaterials!E169</f>
        <v>Seed Mix, Lawn, lb</v>
      </c>
      <c r="F164" s="45" t="str">
        <f>MasterMaterials!F169</f>
        <v/>
      </c>
      <c r="G164" s="45" t="str">
        <f>MasterMaterials!G169</f>
        <v>lb</v>
      </c>
      <c r="H164" s="45">
        <f>MasterMaterials!H169</f>
        <v>0</v>
      </c>
      <c r="I164" s="46">
        <f>MasterMaterials!I169</f>
        <v>8</v>
      </c>
      <c r="J164" s="47">
        <f>MasterMaterials!J169</f>
        <v>13.37</v>
      </c>
      <c r="K164" s="45" t="str">
        <f>MasterMaterials!K169</f>
        <v/>
      </c>
      <c r="L164" s="45" t="str">
        <f>MasterMaterials!L169</f>
        <v/>
      </c>
      <c r="M164" s="45" t="str">
        <f>MasterMaterials!M169</f>
        <v/>
      </c>
      <c r="N164" s="45" t="str">
        <f>MasterMaterials!N169</f>
        <v/>
      </c>
      <c r="O164" s="49">
        <f>MasterMaterials!O169</f>
        <v>45988</v>
      </c>
    </row>
    <row r="165">
      <c r="A165" s="45" t="str">
        <f>MasterMaterials!A170</f>
        <v>Seed Mix, Native, lb</v>
      </c>
      <c r="B165" s="45" t="str">
        <f>MasterMaterials!B170</f>
        <v>LMN40150790</v>
      </c>
      <c r="C165" s="45" t="str">
        <f>MasterMaterials!C170</f>
        <v>H</v>
      </c>
      <c r="D165" s="45" t="str">
        <f>MasterMaterials!D170</f>
        <v/>
      </c>
      <c r="E165" s="45" t="str">
        <f>MasterMaterials!E170</f>
        <v>Seed Mix, Native, lb</v>
      </c>
      <c r="F165" s="45" t="str">
        <f>MasterMaterials!F170</f>
        <v/>
      </c>
      <c r="G165" s="45" t="str">
        <f>MasterMaterials!G170</f>
        <v>lb</v>
      </c>
      <c r="H165" s="45">
        <f>MasterMaterials!H170</f>
        <v>0</v>
      </c>
      <c r="I165" s="46">
        <f>MasterMaterials!I170</f>
        <v>12</v>
      </c>
      <c r="J165" s="47">
        <f>MasterMaterials!J170</f>
        <v>20.06</v>
      </c>
      <c r="K165" s="45" t="str">
        <f>MasterMaterials!K170</f>
        <v/>
      </c>
      <c r="L165" s="45" t="str">
        <f>MasterMaterials!L170</f>
        <v/>
      </c>
      <c r="M165" s="45" t="str">
        <f>MasterMaterials!M170</f>
        <v/>
      </c>
      <c r="N165" s="45" t="str">
        <f>MasterMaterials!N170</f>
        <v/>
      </c>
      <c r="O165" s="49">
        <f>MasterMaterials!O170</f>
        <v>45988</v>
      </c>
    </row>
    <row r="166">
      <c r="A166" s="45" t="str">
        <f>MasterMaterials!A171</f>
        <v>Shrub, Deciduous 15 gal/B&amp;B, ea</v>
      </c>
      <c r="B166" s="45" t="str">
        <f>MasterMaterials!B171</f>
        <v>LMN40150779</v>
      </c>
      <c r="C166" s="45" t="str">
        <f>MasterMaterials!C171</f>
        <v>H</v>
      </c>
      <c r="D166" s="45" t="str">
        <f>MasterMaterials!D171</f>
        <v/>
      </c>
      <c r="E166" s="45" t="str">
        <f>MasterMaterials!E171</f>
        <v>Shrub, Deciduous 15 gal/B&amp;B, ea</v>
      </c>
      <c r="F166" s="45" t="str">
        <f>MasterMaterials!F171</f>
        <v/>
      </c>
      <c r="G166" s="45" t="str">
        <f>MasterMaterials!G171</f>
        <v>ea</v>
      </c>
      <c r="H166" s="45">
        <f>MasterMaterials!H171</f>
        <v>0</v>
      </c>
      <c r="I166" s="46">
        <f>MasterMaterials!I171</f>
        <v>90</v>
      </c>
      <c r="J166" s="47">
        <f>MasterMaterials!J171</f>
        <v>159.3</v>
      </c>
      <c r="K166" s="45" t="str">
        <f>MasterMaterials!K171</f>
        <v>Y</v>
      </c>
      <c r="L166" s="45" t="str">
        <f>MasterMaterials!L171</f>
        <v/>
      </c>
      <c r="M166" s="45" t="str">
        <f>MasterMaterials!M171</f>
        <v/>
      </c>
      <c r="N166" s="45" t="str">
        <f>MasterMaterials!N171</f>
        <v/>
      </c>
      <c r="O166" s="48">
        <f>MasterMaterials!O171</f>
        <v>45988</v>
      </c>
    </row>
    <row r="167">
      <c r="A167" s="45" t="str">
        <f>MasterMaterials!A172</f>
        <v>Shrub, Deciduous 2 gal, ea</v>
      </c>
      <c r="B167" s="45" t="str">
        <f>MasterMaterials!B172</f>
        <v>LMN40150776</v>
      </c>
      <c r="C167" s="45" t="str">
        <f>MasterMaterials!C172</f>
        <v>H</v>
      </c>
      <c r="D167" s="45" t="str">
        <f>MasterMaterials!D172</f>
        <v/>
      </c>
      <c r="E167" s="45" t="str">
        <f>MasterMaterials!E172</f>
        <v>Shrub, Deciduous 2 gal, ea</v>
      </c>
      <c r="F167" s="45" t="str">
        <f>MasterMaterials!F172</f>
        <v/>
      </c>
      <c r="G167" s="45" t="str">
        <f>MasterMaterials!G172</f>
        <v>ea</v>
      </c>
      <c r="H167" s="45">
        <f>MasterMaterials!H172</f>
        <v>0</v>
      </c>
      <c r="I167" s="46">
        <f>MasterMaterials!I172</f>
        <v>25</v>
      </c>
      <c r="J167" s="47">
        <f>MasterMaterials!J172</f>
        <v>44.25</v>
      </c>
      <c r="K167" s="45" t="str">
        <f>MasterMaterials!K172</f>
        <v>Y</v>
      </c>
      <c r="L167" s="45" t="str">
        <f>MasterMaterials!L172</f>
        <v/>
      </c>
      <c r="M167" s="45" t="str">
        <f>MasterMaterials!M172</f>
        <v/>
      </c>
      <c r="N167" s="45" t="str">
        <f>MasterMaterials!N172</f>
        <v/>
      </c>
      <c r="O167" s="48">
        <f>MasterMaterials!O172</f>
        <v>45988</v>
      </c>
    </row>
    <row r="168">
      <c r="A168" s="45" t="str">
        <f>MasterMaterials!A173</f>
        <v>Shrub, Deciduous 5 gal, ea</v>
      </c>
      <c r="B168" s="45" t="str">
        <f>MasterMaterials!B173</f>
        <v>LMN40150777</v>
      </c>
      <c r="C168" s="45" t="str">
        <f>MasterMaterials!C173</f>
        <v>H</v>
      </c>
      <c r="D168" s="45" t="str">
        <f>MasterMaterials!D173</f>
        <v/>
      </c>
      <c r="E168" s="45" t="str">
        <f>MasterMaterials!E173</f>
        <v>Shrub, Deciduous 5 gal, ea</v>
      </c>
      <c r="F168" s="45" t="str">
        <f>MasterMaterials!F173</f>
        <v/>
      </c>
      <c r="G168" s="45" t="str">
        <f>MasterMaterials!G173</f>
        <v>ea</v>
      </c>
      <c r="H168" s="45">
        <f>MasterMaterials!H173</f>
        <v>0</v>
      </c>
      <c r="I168" s="46">
        <f>MasterMaterials!I173</f>
        <v>35</v>
      </c>
      <c r="J168" s="47">
        <f>MasterMaterials!J173</f>
        <v>62</v>
      </c>
      <c r="K168" s="45" t="str">
        <f>MasterMaterials!K173</f>
        <v>Y</v>
      </c>
      <c r="L168" s="45" t="str">
        <f>MasterMaterials!L173</f>
        <v/>
      </c>
      <c r="M168" s="45" t="str">
        <f>MasterMaterials!M173</f>
        <v/>
      </c>
      <c r="N168" s="45" t="str">
        <f>MasterMaterials!N173</f>
        <v/>
      </c>
      <c r="O168" s="48">
        <f>MasterMaterials!O173</f>
        <v>45988</v>
      </c>
    </row>
    <row r="169">
      <c r="A169" s="45" t="str">
        <f>MasterMaterials!A174</f>
        <v>Shrub, Deciduous 7 gal, ea</v>
      </c>
      <c r="B169" s="45" t="str">
        <f>MasterMaterials!B174</f>
        <v>LMN40150778</v>
      </c>
      <c r="C169" s="45" t="str">
        <f>MasterMaterials!C174</f>
        <v>H</v>
      </c>
      <c r="D169" s="45" t="str">
        <f>MasterMaterials!D174</f>
        <v/>
      </c>
      <c r="E169" s="45" t="str">
        <f>MasterMaterials!E174</f>
        <v>Shrub, Deciduous 7 gal, ea</v>
      </c>
      <c r="F169" s="45" t="str">
        <f>MasterMaterials!F174</f>
        <v/>
      </c>
      <c r="G169" s="45" t="str">
        <f>MasterMaterials!G174</f>
        <v>ea</v>
      </c>
      <c r="H169" s="45">
        <f>MasterMaterials!H174</f>
        <v>0</v>
      </c>
      <c r="I169" s="46">
        <f>MasterMaterials!I174</f>
        <v>72</v>
      </c>
      <c r="J169" s="47">
        <f>MasterMaterials!J174</f>
        <v>127.44</v>
      </c>
      <c r="K169" s="45" t="str">
        <f>MasterMaterials!K174</f>
        <v>Y</v>
      </c>
      <c r="L169" s="45" t="str">
        <f>MasterMaterials!L174</f>
        <v/>
      </c>
      <c r="M169" s="45" t="str">
        <f>MasterMaterials!M174</f>
        <v/>
      </c>
      <c r="N169" s="45" t="str">
        <f>MasterMaterials!N174</f>
        <v/>
      </c>
      <c r="O169" s="48">
        <f>MasterMaterials!O174</f>
        <v>45988</v>
      </c>
    </row>
    <row r="170">
      <c r="A170" s="45" t="str">
        <f>MasterMaterials!A175</f>
        <v>Shrub, Evergreen 15 gal/B&amp;B, ea</v>
      </c>
      <c r="B170" s="45" t="str">
        <f>MasterMaterials!B175</f>
        <v>LMN40150783</v>
      </c>
      <c r="C170" s="45" t="str">
        <f>MasterMaterials!C175</f>
        <v>H</v>
      </c>
      <c r="D170" s="45" t="str">
        <f>MasterMaterials!D175</f>
        <v/>
      </c>
      <c r="E170" s="45" t="str">
        <f>MasterMaterials!E175</f>
        <v>Shrub, Evergreen 15 gal/B&amp;B, ea</v>
      </c>
      <c r="F170" s="45" t="str">
        <f>MasterMaterials!F175</f>
        <v/>
      </c>
      <c r="G170" s="45" t="str">
        <f>MasterMaterials!G175</f>
        <v>ea</v>
      </c>
      <c r="H170" s="45">
        <f>MasterMaterials!H175</f>
        <v>0</v>
      </c>
      <c r="I170" s="46">
        <f>MasterMaterials!I175</f>
        <v>300</v>
      </c>
      <c r="J170" s="47">
        <f>MasterMaterials!J175</f>
        <v>501.45</v>
      </c>
      <c r="K170" s="45" t="str">
        <f>MasterMaterials!K175</f>
        <v/>
      </c>
      <c r="L170" s="50">
        <f>MasterMaterials!L175</f>
        <v>0.29</v>
      </c>
      <c r="M170" s="45" t="str">
        <f>MasterMaterials!M175</f>
        <v/>
      </c>
      <c r="N170" s="45" t="str">
        <f>MasterMaterials!N175</f>
        <v/>
      </c>
      <c r="O170" s="48">
        <f>MasterMaterials!O175</f>
        <v>45988</v>
      </c>
    </row>
    <row r="171">
      <c r="A171" s="45" t="str">
        <f>MasterMaterials!A176</f>
        <v>Shrub, Evergreen 2 gal, ea</v>
      </c>
      <c r="B171" s="45" t="str">
        <f>MasterMaterials!B176</f>
        <v>LMN40150780</v>
      </c>
      <c r="C171" s="45" t="str">
        <f>MasterMaterials!C176</f>
        <v>H</v>
      </c>
      <c r="D171" s="45" t="str">
        <f>MasterMaterials!D176</f>
        <v/>
      </c>
      <c r="E171" s="45" t="str">
        <f>MasterMaterials!E176</f>
        <v>Shrub, Evergreen 2 gal, ea</v>
      </c>
      <c r="F171" s="45" t="str">
        <f>MasterMaterials!F176</f>
        <v/>
      </c>
      <c r="G171" s="45" t="str">
        <f>MasterMaterials!G176</f>
        <v>ea</v>
      </c>
      <c r="H171" s="45">
        <f>MasterMaterials!H176</f>
        <v>0</v>
      </c>
      <c r="I171" s="46">
        <f>MasterMaterials!I176</f>
        <v>41</v>
      </c>
      <c r="J171" s="47">
        <f>MasterMaterials!J176</f>
        <v>68.53</v>
      </c>
      <c r="K171" s="45" t="str">
        <f>MasterMaterials!K176</f>
        <v/>
      </c>
      <c r="L171" s="50">
        <f>MasterMaterials!L176</f>
        <v>0.29</v>
      </c>
      <c r="M171" s="45" t="str">
        <f>MasterMaterials!M176</f>
        <v/>
      </c>
      <c r="N171" s="45" t="str">
        <f>MasterMaterials!N176</f>
        <v/>
      </c>
      <c r="O171" s="48">
        <f>MasterMaterials!O176</f>
        <v>45988</v>
      </c>
    </row>
    <row r="172">
      <c r="A172" s="45" t="str">
        <f>MasterMaterials!A177</f>
        <v>Shrub, Evergreen 5 gal, ea</v>
      </c>
      <c r="B172" s="45" t="str">
        <f>MasterMaterials!B177</f>
        <v>LMN40150781</v>
      </c>
      <c r="C172" s="45" t="str">
        <f>MasterMaterials!C177</f>
        <v>H</v>
      </c>
      <c r="D172" s="45" t="str">
        <f>MasterMaterials!D177</f>
        <v/>
      </c>
      <c r="E172" s="45" t="str">
        <f>MasterMaterials!E177</f>
        <v>Shrub, Evergreen 5 gal, ea</v>
      </c>
      <c r="F172" s="45" t="str">
        <f>MasterMaterials!F177</f>
        <v/>
      </c>
      <c r="G172" s="45" t="str">
        <f>MasterMaterials!G177</f>
        <v>ea</v>
      </c>
      <c r="H172" s="45">
        <f>MasterMaterials!H177</f>
        <v>0</v>
      </c>
      <c r="I172" s="46">
        <f>MasterMaterials!I177</f>
        <v>78</v>
      </c>
      <c r="J172" s="47">
        <f>MasterMaterials!J177</f>
        <v>130.38</v>
      </c>
      <c r="K172" s="45" t="str">
        <f>MasterMaterials!K177</f>
        <v/>
      </c>
      <c r="L172" s="50">
        <f>MasterMaterials!L177</f>
        <v>0.29</v>
      </c>
      <c r="M172" s="45" t="str">
        <f>MasterMaterials!M177</f>
        <v/>
      </c>
      <c r="N172" s="45" t="str">
        <f>MasterMaterials!N177</f>
        <v/>
      </c>
      <c r="O172" s="48">
        <f>MasterMaterials!O177</f>
        <v>45988</v>
      </c>
    </row>
    <row r="173">
      <c r="A173" s="45" t="str">
        <f>MasterMaterials!A178</f>
        <v>Shrub, Evergreen 7/10 gal, ea</v>
      </c>
      <c r="B173" s="45" t="str">
        <f>MasterMaterials!B178</f>
        <v>LMN40150782</v>
      </c>
      <c r="C173" s="45" t="str">
        <f>MasterMaterials!C178</f>
        <v>H</v>
      </c>
      <c r="D173" s="45" t="str">
        <f>MasterMaterials!D178</f>
        <v/>
      </c>
      <c r="E173" s="45" t="str">
        <f>MasterMaterials!E178</f>
        <v>Shrub, Evergreen 7/10 gal, ea</v>
      </c>
      <c r="F173" s="45" t="str">
        <f>MasterMaterials!F178</f>
        <v/>
      </c>
      <c r="G173" s="45" t="str">
        <f>MasterMaterials!G178</f>
        <v>ea</v>
      </c>
      <c r="H173" s="45">
        <f>MasterMaterials!H178</f>
        <v>0</v>
      </c>
      <c r="I173" s="46">
        <f>MasterMaterials!I178</f>
        <v>190</v>
      </c>
      <c r="J173" s="47">
        <f>MasterMaterials!J178</f>
        <v>336.3</v>
      </c>
      <c r="K173" s="45" t="str">
        <f>MasterMaterials!K178</f>
        <v>Y</v>
      </c>
      <c r="L173" s="45" t="str">
        <f>MasterMaterials!L178</f>
        <v/>
      </c>
      <c r="M173" s="45" t="str">
        <f>MasterMaterials!M178</f>
        <v/>
      </c>
      <c r="N173" s="45" t="str">
        <f>MasterMaterials!N178</f>
        <v/>
      </c>
      <c r="O173" s="48">
        <f>MasterMaterials!O178</f>
        <v>45988</v>
      </c>
    </row>
    <row r="174">
      <c r="A174" s="45" t="str">
        <f>MasterMaterials!A179</f>
        <v>Shrub, Multistem, 6-8', ea</v>
      </c>
      <c r="B174" s="45" t="str">
        <f>MasterMaterials!B179</f>
        <v>LMN40150786</v>
      </c>
      <c r="C174" s="45" t="str">
        <f>MasterMaterials!C179</f>
        <v>H</v>
      </c>
      <c r="D174" s="45" t="str">
        <f>MasterMaterials!D179</f>
        <v/>
      </c>
      <c r="E174" s="45" t="str">
        <f>MasterMaterials!E179</f>
        <v>Shrub, Multistem, 6-8', ea</v>
      </c>
      <c r="F174" s="45" t="str">
        <f>MasterMaterials!F179</f>
        <v/>
      </c>
      <c r="G174" s="45" t="str">
        <f>MasterMaterials!G179</f>
        <v>ea</v>
      </c>
      <c r="H174" s="45">
        <f>MasterMaterials!H179</f>
        <v>0</v>
      </c>
      <c r="I174" s="46">
        <f>MasterMaterials!I179</f>
        <v>203</v>
      </c>
      <c r="J174" s="47">
        <f>MasterMaterials!J179</f>
        <v>359.31</v>
      </c>
      <c r="K174" s="45" t="str">
        <f>MasterMaterials!K179</f>
        <v>Y</v>
      </c>
      <c r="L174" s="45" t="str">
        <f>MasterMaterials!L179</f>
        <v/>
      </c>
      <c r="M174" s="45" t="str">
        <f>MasterMaterials!M179</f>
        <v/>
      </c>
      <c r="N174" s="45" t="str">
        <f>MasterMaterials!N179</f>
        <v/>
      </c>
      <c r="O174" s="48">
        <f>MasterMaterials!O179</f>
        <v>45988</v>
      </c>
    </row>
    <row r="175">
      <c r="A175" s="45" t="str">
        <f>MasterMaterials!A180</f>
        <v>Spaghetti Pipe, ft</v>
      </c>
      <c r="B175" s="45" t="str">
        <f>MasterMaterials!B180</f>
        <v>LMN40150669</v>
      </c>
      <c r="C175" s="45" t="str">
        <f>MasterMaterials!C180</f>
        <v>H</v>
      </c>
      <c r="D175" s="45" t="str">
        <f>MasterMaterials!D180</f>
        <v/>
      </c>
      <c r="E175" s="45" t="str">
        <f>MasterMaterials!E180</f>
        <v>Spaghetti Pipe, ft</v>
      </c>
      <c r="F175" s="45" t="str">
        <f>MasterMaterials!F180</f>
        <v/>
      </c>
      <c r="G175" s="45" t="str">
        <f>MasterMaterials!G180</f>
        <v>ft</v>
      </c>
      <c r="H175" s="45">
        <f>MasterMaterials!H180</f>
        <v>0</v>
      </c>
      <c r="I175" s="46">
        <f>MasterMaterials!I180</f>
        <v>0.06</v>
      </c>
      <c r="J175" s="47">
        <f>MasterMaterials!J180</f>
        <v>0.33</v>
      </c>
      <c r="K175" s="45" t="str">
        <f>MasterMaterials!K180</f>
        <v>Y</v>
      </c>
      <c r="L175" s="45" t="str">
        <f>MasterMaterials!L180</f>
        <v/>
      </c>
      <c r="M175" s="45" t="str">
        <f>MasterMaterials!M180</f>
        <v/>
      </c>
      <c r="N175" s="45" t="str">
        <f>MasterMaterials!N180</f>
        <v/>
      </c>
      <c r="O175" s="49">
        <f>MasterMaterials!O180</f>
        <v>45989</v>
      </c>
    </row>
    <row r="176">
      <c r="A176" s="45" t="str">
        <f>MasterMaterials!A181</f>
        <v>Sprinkler, 1804, ea</v>
      </c>
      <c r="B176" s="45" t="str">
        <f>MasterMaterials!B181</f>
        <v>NEW041</v>
      </c>
      <c r="C176" s="45" t="str">
        <f>MasterMaterials!C181</f>
        <v>H</v>
      </c>
      <c r="D176" s="45" t="str">
        <f>MasterMaterials!D181</f>
        <v/>
      </c>
      <c r="E176" s="45" t="str">
        <f>MasterMaterials!E181</f>
        <v>Sprinkler, 1804, ea</v>
      </c>
      <c r="F176" s="45" t="str">
        <f>MasterMaterials!F181</f>
        <v/>
      </c>
      <c r="G176" s="45" t="str">
        <f>MasterMaterials!G181</f>
        <v>ea</v>
      </c>
      <c r="H176" s="45">
        <f>MasterMaterials!H181</f>
        <v>0</v>
      </c>
      <c r="I176" s="46">
        <f>MasterMaterials!I181</f>
        <v>4.2</v>
      </c>
      <c r="J176" s="47">
        <f>MasterMaterials!J181</f>
        <v>8.59</v>
      </c>
      <c r="K176" s="45" t="str">
        <f>MasterMaterials!K181</f>
        <v>Y</v>
      </c>
      <c r="L176" s="45" t="str">
        <f>MasterMaterials!L181</f>
        <v/>
      </c>
      <c r="M176" s="45" t="str">
        <f>MasterMaterials!M181</f>
        <v/>
      </c>
      <c r="N176" s="45" t="str">
        <f>MasterMaterials!N181</f>
        <v/>
      </c>
      <c r="O176" s="49">
        <f>MasterMaterials!O181</f>
        <v>45988</v>
      </c>
    </row>
    <row r="177">
      <c r="A177" s="45" t="str">
        <f>MasterMaterials!A182</f>
        <v>Sprinkler, 1812, ea</v>
      </c>
      <c r="B177" s="45" t="str">
        <f>MasterMaterials!B182</f>
        <v>LMN40150688</v>
      </c>
      <c r="C177" s="45" t="str">
        <f>MasterMaterials!C182</f>
        <v>H</v>
      </c>
      <c r="D177" s="45" t="str">
        <f>MasterMaterials!D182</f>
        <v/>
      </c>
      <c r="E177" s="45" t="str">
        <f>MasterMaterials!E182</f>
        <v>Sprinkler, 1812, ea</v>
      </c>
      <c r="F177" s="45" t="str">
        <f>MasterMaterials!F182</f>
        <v/>
      </c>
      <c r="G177" s="45" t="str">
        <f>MasterMaterials!G182</f>
        <v>ea</v>
      </c>
      <c r="H177" s="45">
        <f>MasterMaterials!H182</f>
        <v>0</v>
      </c>
      <c r="I177" s="46">
        <f>MasterMaterials!I182</f>
        <v>10.13</v>
      </c>
      <c r="J177" s="47">
        <f>MasterMaterials!J182</f>
        <v>20.96</v>
      </c>
      <c r="K177" s="45" t="str">
        <f>MasterMaterials!K182</f>
        <v>Y</v>
      </c>
      <c r="L177" s="45" t="str">
        <f>MasterMaterials!L182</f>
        <v/>
      </c>
      <c r="M177" s="45" t="str">
        <f>MasterMaterials!M182</f>
        <v/>
      </c>
      <c r="N177" s="45" t="str">
        <f>MasterMaterials!N182</f>
        <v/>
      </c>
      <c r="O177" s="49">
        <f>MasterMaterials!O182</f>
        <v>45988</v>
      </c>
    </row>
    <row r="178">
      <c r="A178" s="45" t="str">
        <f>MasterMaterials!A183</f>
        <v>Sprinkler, 3504, ea</v>
      </c>
      <c r="B178" s="45" t="str">
        <f>MasterMaterials!B183</f>
        <v>LMN45473708</v>
      </c>
      <c r="C178" s="45" t="str">
        <f>MasterMaterials!C183</f>
        <v>H</v>
      </c>
      <c r="D178" s="45" t="str">
        <f>MasterMaterials!D183</f>
        <v/>
      </c>
      <c r="E178" s="45" t="str">
        <f>MasterMaterials!E183</f>
        <v>Sprinker, 3504, ea</v>
      </c>
      <c r="F178" s="45" t="str">
        <f>MasterMaterials!F183</f>
        <v/>
      </c>
      <c r="G178" s="45" t="str">
        <f>MasterMaterials!G183</f>
        <v>ea</v>
      </c>
      <c r="H178" s="45">
        <f>MasterMaterials!H183</f>
        <v>0</v>
      </c>
      <c r="I178" s="46">
        <f>MasterMaterials!I183</f>
        <v>12.44</v>
      </c>
      <c r="J178" s="47">
        <f>MasterMaterials!J183</f>
        <v>24.89</v>
      </c>
      <c r="K178" s="45" t="str">
        <f>MasterMaterials!K183</f>
        <v>Y</v>
      </c>
      <c r="L178" s="45" t="str">
        <f>MasterMaterials!L183</f>
        <v/>
      </c>
      <c r="M178" s="45" t="str">
        <f>MasterMaterials!M183</f>
        <v/>
      </c>
      <c r="N178" s="45" t="str">
        <f>MasterMaterials!N183</f>
        <v/>
      </c>
      <c r="O178" s="49">
        <f>MasterMaterials!O183</f>
        <v>45988</v>
      </c>
    </row>
    <row r="179">
      <c r="A179" s="45" t="str">
        <f>MasterMaterials!A184</f>
        <v>Sprinkler, 5012, ea</v>
      </c>
      <c r="B179" s="45" t="str">
        <f>MasterMaterials!B184</f>
        <v>LMN40150689</v>
      </c>
      <c r="C179" s="45" t="str">
        <f>MasterMaterials!C184</f>
        <v>H</v>
      </c>
      <c r="D179" s="45" t="str">
        <f>MasterMaterials!D184</f>
        <v/>
      </c>
      <c r="E179" s="45" t="str">
        <f>MasterMaterials!E184</f>
        <v>Sprinkler, 5012, ea</v>
      </c>
      <c r="F179" s="45" t="str">
        <f>MasterMaterials!F184</f>
        <v/>
      </c>
      <c r="G179" s="45" t="str">
        <f>MasterMaterials!G184</f>
        <v>ea</v>
      </c>
      <c r="H179" s="45">
        <f>MasterMaterials!H184</f>
        <v>0</v>
      </c>
      <c r="I179" s="46">
        <f>MasterMaterials!I184</f>
        <v>37.83</v>
      </c>
      <c r="J179" s="47">
        <f>MasterMaterials!J184</f>
        <v>72.75</v>
      </c>
      <c r="K179" s="45" t="str">
        <f>MasterMaterials!K184</f>
        <v>Y</v>
      </c>
      <c r="L179" s="45" t="str">
        <f>MasterMaterials!L184</f>
        <v/>
      </c>
      <c r="M179" s="45" t="str">
        <f>MasterMaterials!M184</f>
        <v/>
      </c>
      <c r="N179" s="45" t="str">
        <f>MasterMaterials!N184</f>
        <v/>
      </c>
      <c r="O179" s="49">
        <f>MasterMaterials!O184</f>
        <v>45988</v>
      </c>
    </row>
    <row r="180">
      <c r="A180" s="45" t="str">
        <f>MasterMaterials!A185</f>
        <v>Sprinkler, Rainbird 3500, ea</v>
      </c>
      <c r="B180" s="45" t="str">
        <f>MasterMaterials!B185</f>
        <v>NEW042</v>
      </c>
      <c r="C180" s="45" t="str">
        <f>MasterMaterials!C185</f>
        <v>H</v>
      </c>
      <c r="D180" s="45" t="str">
        <f>MasterMaterials!D185</f>
        <v/>
      </c>
      <c r="E180" s="45" t="str">
        <f>MasterMaterials!E185</f>
        <v>Sprinkler, Rainbird 3500, ea</v>
      </c>
      <c r="F180" s="45" t="str">
        <f>MasterMaterials!F185</f>
        <v/>
      </c>
      <c r="G180" s="45" t="str">
        <f>MasterMaterials!G185</f>
        <v>ea</v>
      </c>
      <c r="H180" s="45">
        <f>MasterMaterials!H185</f>
        <v>0</v>
      </c>
      <c r="I180" s="46">
        <f>MasterMaterials!I185</f>
        <v>14.65</v>
      </c>
      <c r="J180" s="47">
        <f>MasterMaterials!J185</f>
        <v>32.68</v>
      </c>
      <c r="K180" s="45" t="str">
        <f>MasterMaterials!K185</f>
        <v>Y</v>
      </c>
      <c r="L180" s="45" t="str">
        <f>MasterMaterials!L185</f>
        <v/>
      </c>
      <c r="M180" s="45" t="str">
        <f>MasterMaterials!M185</f>
        <v/>
      </c>
      <c r="N180" s="45" t="str">
        <f>MasterMaterials!N185</f>
        <v/>
      </c>
      <c r="O180" s="49">
        <f>MasterMaterials!O185</f>
        <v>45988</v>
      </c>
    </row>
    <row r="181">
      <c r="A181" s="45" t="str">
        <f>MasterMaterials!A186</f>
        <v>Spruce, 10', ea</v>
      </c>
      <c r="B181" s="45" t="str">
        <f>MasterMaterials!B186</f>
        <v>LMN40150750</v>
      </c>
      <c r="C181" s="45" t="str">
        <f>MasterMaterials!C186</f>
        <v>H</v>
      </c>
      <c r="D181" s="45" t="str">
        <f>MasterMaterials!D186</f>
        <v/>
      </c>
      <c r="E181" s="45" t="str">
        <f>MasterMaterials!E186</f>
        <v>Spruce, 10', ea</v>
      </c>
      <c r="F181" s="45" t="str">
        <f>MasterMaterials!F186</f>
        <v/>
      </c>
      <c r="G181" s="45" t="str">
        <f>MasterMaterials!G186</f>
        <v>ea</v>
      </c>
      <c r="H181" s="45">
        <f>MasterMaterials!H186</f>
        <v>0</v>
      </c>
      <c r="I181" s="46">
        <f>MasterMaterials!I186</f>
        <v>695</v>
      </c>
      <c r="J181" s="47">
        <f>MasterMaterials!J186</f>
        <v>1230.2</v>
      </c>
      <c r="K181" s="45" t="str">
        <f>MasterMaterials!K186</f>
        <v>Y</v>
      </c>
      <c r="L181" s="45" t="str">
        <f>MasterMaterials!L186</f>
        <v/>
      </c>
      <c r="M181" s="45" t="str">
        <f>MasterMaterials!M186</f>
        <v/>
      </c>
      <c r="N181" s="45" t="str">
        <f>MasterMaterials!N186</f>
        <v/>
      </c>
      <c r="O181" s="49">
        <f>MasterMaterials!O186</f>
        <v>45988</v>
      </c>
    </row>
    <row r="182">
      <c r="A182" s="45" t="str">
        <f>MasterMaterials!A187</f>
        <v>Spruce, 12', ea</v>
      </c>
      <c r="B182" s="45" t="str">
        <f>MasterMaterials!B187</f>
        <v>LMN40150751</v>
      </c>
      <c r="C182" s="45" t="str">
        <f>MasterMaterials!C187</f>
        <v>H</v>
      </c>
      <c r="D182" s="45" t="str">
        <f>MasterMaterials!D187</f>
        <v/>
      </c>
      <c r="E182" s="45" t="str">
        <f>MasterMaterials!E187</f>
        <v>Spruce, 12', ea</v>
      </c>
      <c r="F182" s="45" t="str">
        <f>MasterMaterials!F187</f>
        <v/>
      </c>
      <c r="G182" s="45" t="str">
        <f>MasterMaterials!G187</f>
        <v>ea</v>
      </c>
      <c r="H182" s="45">
        <f>MasterMaterials!H187</f>
        <v>0</v>
      </c>
      <c r="I182" s="46">
        <f>MasterMaterials!I187</f>
        <v>850</v>
      </c>
      <c r="J182" s="47">
        <f>MasterMaterials!J187</f>
        <v>1504.5</v>
      </c>
      <c r="K182" s="45" t="str">
        <f>MasterMaterials!K187</f>
        <v>Y</v>
      </c>
      <c r="L182" s="45" t="str">
        <f>MasterMaterials!L187</f>
        <v/>
      </c>
      <c r="M182" s="45" t="str">
        <f>MasterMaterials!M187</f>
        <v/>
      </c>
      <c r="N182" s="45" t="str">
        <f>MasterMaterials!N187</f>
        <v/>
      </c>
      <c r="O182" s="49">
        <f>MasterMaterials!O187</f>
        <v>45988</v>
      </c>
    </row>
    <row r="183">
      <c r="A183" s="45" t="str">
        <f>MasterMaterials!A188</f>
        <v>Spruce, 14', ea</v>
      </c>
      <c r="B183" s="45" t="str">
        <f>MasterMaterials!B188</f>
        <v>LMN40150752</v>
      </c>
      <c r="C183" s="45" t="str">
        <f>MasterMaterials!C188</f>
        <v>H</v>
      </c>
      <c r="D183" s="45" t="str">
        <f>MasterMaterials!D188</f>
        <v/>
      </c>
      <c r="E183" s="45" t="str">
        <f>MasterMaterials!E188</f>
        <v>Spruce, 14', ea</v>
      </c>
      <c r="F183" s="45" t="str">
        <f>MasterMaterials!F188</f>
        <v/>
      </c>
      <c r="G183" s="45" t="str">
        <f>MasterMaterials!G188</f>
        <v>ea</v>
      </c>
      <c r="H183" s="45">
        <f>MasterMaterials!H188</f>
        <v>0</v>
      </c>
      <c r="I183" s="46">
        <f>MasterMaterials!I188</f>
        <v>840</v>
      </c>
      <c r="J183" s="47">
        <f>MasterMaterials!J188</f>
        <v>1911.6</v>
      </c>
      <c r="K183" s="45" t="str">
        <f>MasterMaterials!K188</f>
        <v>Y</v>
      </c>
      <c r="L183" s="45" t="str">
        <f>MasterMaterials!L188</f>
        <v/>
      </c>
      <c r="M183" s="45" t="str">
        <f>MasterMaterials!M188</f>
        <v/>
      </c>
      <c r="N183" s="45" t="str">
        <f>MasterMaterials!N188</f>
        <v/>
      </c>
      <c r="O183" s="49">
        <f>MasterMaterials!O188</f>
        <v>45988</v>
      </c>
    </row>
    <row r="184">
      <c r="A184" s="45" t="str">
        <f>MasterMaterials!A189</f>
        <v>Spruce, 16', ea</v>
      </c>
      <c r="B184" s="45" t="str">
        <f>MasterMaterials!B189</f>
        <v>LMN40150753</v>
      </c>
      <c r="C184" s="45" t="str">
        <f>MasterMaterials!C189</f>
        <v>H</v>
      </c>
      <c r="D184" s="45" t="str">
        <f>MasterMaterials!D189</f>
        <v/>
      </c>
      <c r="E184" s="45" t="str">
        <f>MasterMaterials!E189</f>
        <v>Spruce, 16', ea</v>
      </c>
      <c r="F184" s="45" t="str">
        <f>MasterMaterials!F189</f>
        <v/>
      </c>
      <c r="G184" s="45" t="str">
        <f>MasterMaterials!G189</f>
        <v>ea</v>
      </c>
      <c r="H184" s="45">
        <f>MasterMaterials!H189</f>
        <v>0</v>
      </c>
      <c r="I184" s="46">
        <f>MasterMaterials!I189</f>
        <v>960</v>
      </c>
      <c r="J184" s="47">
        <f>MasterMaterials!J189</f>
        <v>2655</v>
      </c>
      <c r="K184" s="45" t="str">
        <f>MasterMaterials!K189</f>
        <v>Y</v>
      </c>
      <c r="L184" s="45" t="str">
        <f>MasterMaterials!L189</f>
        <v/>
      </c>
      <c r="M184" s="45" t="str">
        <f>MasterMaterials!M189</f>
        <v/>
      </c>
      <c r="N184" s="45" t="str">
        <f>MasterMaterials!N189</f>
        <v/>
      </c>
      <c r="O184" s="49">
        <f>MasterMaterials!O189</f>
        <v>45988</v>
      </c>
    </row>
    <row r="185">
      <c r="A185" s="45" t="str">
        <f>MasterMaterials!A190</f>
        <v>Spruce, 18', ea</v>
      </c>
      <c r="B185" s="45" t="str">
        <f>MasterMaterials!B190</f>
        <v>LMN40150754</v>
      </c>
      <c r="C185" s="45" t="str">
        <f>MasterMaterials!C190</f>
        <v>H</v>
      </c>
      <c r="D185" s="45" t="str">
        <f>MasterMaterials!D190</f>
        <v/>
      </c>
      <c r="E185" s="45" t="str">
        <f>MasterMaterials!E190</f>
        <v>Spruce, 18', ea</v>
      </c>
      <c r="F185" s="45" t="str">
        <f>MasterMaterials!F190</f>
        <v/>
      </c>
      <c r="G185" s="45" t="str">
        <f>MasterMaterials!G190</f>
        <v>ea</v>
      </c>
      <c r="H185" s="45">
        <f>MasterMaterials!H190</f>
        <v>0</v>
      </c>
      <c r="I185" s="46">
        <f>MasterMaterials!I190</f>
        <v>1080</v>
      </c>
      <c r="J185" s="47">
        <f>MasterMaterials!J190</f>
        <v>3310</v>
      </c>
      <c r="K185" s="45" t="str">
        <f>MasterMaterials!K190</f>
        <v>Y</v>
      </c>
      <c r="L185" s="45" t="str">
        <f>MasterMaterials!L190</f>
        <v/>
      </c>
      <c r="M185" s="45" t="str">
        <f>MasterMaterials!M190</f>
        <v/>
      </c>
      <c r="N185" s="45" t="str">
        <f>MasterMaterials!N190</f>
        <v/>
      </c>
      <c r="O185" s="49">
        <f>MasterMaterials!O190</f>
        <v>45988</v>
      </c>
    </row>
    <row r="186">
      <c r="A186" s="45" t="str">
        <f>MasterMaterials!A191</f>
        <v>Spruce, 20', ea</v>
      </c>
      <c r="B186" s="45" t="str">
        <f>MasterMaterials!B191</f>
        <v>LMN40150755</v>
      </c>
      <c r="C186" s="45" t="str">
        <f>MasterMaterials!C191</f>
        <v>H</v>
      </c>
      <c r="D186" s="45" t="str">
        <f>MasterMaterials!D191</f>
        <v/>
      </c>
      <c r="E186" s="45" t="str">
        <f>MasterMaterials!E191</f>
        <v>Spruce, 20', ea</v>
      </c>
      <c r="F186" s="45" t="str">
        <f>MasterMaterials!F191</f>
        <v/>
      </c>
      <c r="G186" s="45" t="str">
        <f>MasterMaterials!G191</f>
        <v>ea</v>
      </c>
      <c r="H186" s="45">
        <f>MasterMaterials!H191</f>
        <v>0</v>
      </c>
      <c r="I186" s="46">
        <f>MasterMaterials!I191</f>
        <v>1200</v>
      </c>
      <c r="J186" s="47">
        <f>MasterMaterials!J191</f>
        <v>4186</v>
      </c>
      <c r="K186" s="45" t="str">
        <f>MasterMaterials!K191</f>
        <v>Y</v>
      </c>
      <c r="L186" s="45" t="str">
        <f>MasterMaterials!L191</f>
        <v/>
      </c>
      <c r="M186" s="45" t="str">
        <f>MasterMaterials!M191</f>
        <v/>
      </c>
      <c r="N186" s="45" t="str">
        <f>MasterMaterials!N191</f>
        <v/>
      </c>
      <c r="O186" s="49">
        <f>MasterMaterials!O191</f>
        <v>45988</v>
      </c>
    </row>
    <row r="187">
      <c r="A187" s="45" t="str">
        <f>MasterMaterials!A192</f>
        <v>Spruce, 22', ea</v>
      </c>
      <c r="B187" s="45" t="str">
        <f>MasterMaterials!B192</f>
        <v>LMN40150756</v>
      </c>
      <c r="C187" s="45" t="str">
        <f>MasterMaterials!C192</f>
        <v>H</v>
      </c>
      <c r="D187" s="45" t="str">
        <f>MasterMaterials!D192</f>
        <v/>
      </c>
      <c r="E187" s="45" t="str">
        <f>MasterMaterials!E192</f>
        <v>Spruce, 22', ea</v>
      </c>
      <c r="F187" s="45" t="str">
        <f>MasterMaterials!F192</f>
        <v/>
      </c>
      <c r="G187" s="45" t="str">
        <f>MasterMaterials!G192</f>
        <v>ea</v>
      </c>
      <c r="H187" s="45">
        <f>MasterMaterials!H192</f>
        <v>0</v>
      </c>
      <c r="I187" s="46">
        <f>MasterMaterials!I192</f>
        <v>1320</v>
      </c>
      <c r="J187" s="47">
        <f>MasterMaterials!J192</f>
        <v>4974</v>
      </c>
      <c r="K187" s="45" t="str">
        <f>MasterMaterials!K192</f>
        <v>Y</v>
      </c>
      <c r="L187" s="45" t="str">
        <f>MasterMaterials!L192</f>
        <v/>
      </c>
      <c r="M187" s="45" t="str">
        <f>MasterMaterials!M192</f>
        <v/>
      </c>
      <c r="N187" s="45" t="str">
        <f>MasterMaterials!N192</f>
        <v/>
      </c>
      <c r="O187" s="49">
        <f>MasterMaterials!O192</f>
        <v>45988</v>
      </c>
    </row>
    <row r="188">
      <c r="A188" s="45" t="str">
        <f>MasterMaterials!A193</f>
        <v>Spruce, 4', ea</v>
      </c>
      <c r="B188" s="45" t="str">
        <f>MasterMaterials!B193</f>
        <v>LMN40150749</v>
      </c>
      <c r="C188" s="45" t="str">
        <f>MasterMaterials!C193</f>
        <v>H</v>
      </c>
      <c r="D188" s="45" t="str">
        <f>MasterMaterials!D193</f>
        <v/>
      </c>
      <c r="E188" s="45" t="str">
        <f>MasterMaterials!E193</f>
        <v>Spruce, 4', ea</v>
      </c>
      <c r="F188" s="45" t="str">
        <f>MasterMaterials!F193</f>
        <v/>
      </c>
      <c r="G188" s="45" t="str">
        <f>MasterMaterials!G193</f>
        <v>ea</v>
      </c>
      <c r="H188" s="45">
        <f>MasterMaterials!H193</f>
        <v>0</v>
      </c>
      <c r="I188" s="46">
        <f>MasterMaterials!I193</f>
        <v>250</v>
      </c>
      <c r="J188" s="47">
        <f>MasterMaterials!J193</f>
        <v>442.5</v>
      </c>
      <c r="K188" s="45" t="str">
        <f>MasterMaterials!K193</f>
        <v>Y</v>
      </c>
      <c r="L188" s="45" t="str">
        <f>MasterMaterials!L193</f>
        <v/>
      </c>
      <c r="M188" s="45" t="str">
        <f>MasterMaterials!M193</f>
        <v/>
      </c>
      <c r="N188" s="45" t="str">
        <f>MasterMaterials!N193</f>
        <v/>
      </c>
      <c r="O188" s="49">
        <f>MasterMaterials!O193</f>
        <v>45988</v>
      </c>
    </row>
    <row r="189">
      <c r="A189" s="45" t="str">
        <f>MasterMaterials!A194</f>
        <v>Spruce, 6', ea</v>
      </c>
      <c r="B189" s="45" t="str">
        <f>MasterMaterials!B194</f>
        <v>LMN40150747</v>
      </c>
      <c r="C189" s="45" t="str">
        <f>MasterMaterials!C194</f>
        <v>H</v>
      </c>
      <c r="D189" s="45" t="str">
        <f>MasterMaterials!D194</f>
        <v/>
      </c>
      <c r="E189" s="45" t="str">
        <f>MasterMaterials!E194</f>
        <v>Spruce, 6', ea</v>
      </c>
      <c r="F189" s="45" t="str">
        <f>MasterMaterials!F194</f>
        <v/>
      </c>
      <c r="G189" s="45" t="str">
        <f>MasterMaterials!G194</f>
        <v>ea</v>
      </c>
      <c r="H189" s="45">
        <f>MasterMaterials!H194</f>
        <v>0</v>
      </c>
      <c r="I189" s="46">
        <f>MasterMaterials!I194</f>
        <v>310</v>
      </c>
      <c r="J189" s="47">
        <f>MasterMaterials!J194</f>
        <v>549</v>
      </c>
      <c r="K189" s="45" t="str">
        <f>MasterMaterials!K194</f>
        <v>Y</v>
      </c>
      <c r="L189" s="45" t="str">
        <f>MasterMaterials!L194</f>
        <v/>
      </c>
      <c r="M189" s="45" t="str">
        <f>MasterMaterials!M194</f>
        <v/>
      </c>
      <c r="N189" s="45" t="str">
        <f>MasterMaterials!N194</f>
        <v/>
      </c>
      <c r="O189" s="49">
        <f>MasterMaterials!O194</f>
        <v>45988</v>
      </c>
    </row>
    <row r="190">
      <c r="A190" s="45" t="str">
        <f>MasterMaterials!A195</f>
        <v>Spruce, 8', ea</v>
      </c>
      <c r="B190" s="45" t="str">
        <f>MasterMaterials!B195</f>
        <v>LMN40150748</v>
      </c>
      <c r="C190" s="45" t="str">
        <f>MasterMaterials!C195</f>
        <v>H</v>
      </c>
      <c r="D190" s="45" t="str">
        <f>MasterMaterials!D195</f>
        <v/>
      </c>
      <c r="E190" s="45" t="str">
        <f>MasterMaterials!E195</f>
        <v>Spruce, 8', ea</v>
      </c>
      <c r="F190" s="45" t="str">
        <f>MasterMaterials!F195</f>
        <v/>
      </c>
      <c r="G190" s="45" t="str">
        <f>MasterMaterials!G195</f>
        <v>ea</v>
      </c>
      <c r="H190" s="45">
        <f>MasterMaterials!H195</f>
        <v>0</v>
      </c>
      <c r="I190" s="46">
        <f>MasterMaterials!I195</f>
        <v>425</v>
      </c>
      <c r="J190" s="47">
        <f>MasterMaterials!J195</f>
        <v>752</v>
      </c>
      <c r="K190" s="45" t="str">
        <f>MasterMaterials!K195</f>
        <v>Y</v>
      </c>
      <c r="L190" s="45" t="str">
        <f>MasterMaterials!L195</f>
        <v/>
      </c>
      <c r="M190" s="45" t="str">
        <f>MasterMaterials!M195</f>
        <v/>
      </c>
      <c r="N190" s="45" t="str">
        <f>MasterMaterials!N195</f>
        <v/>
      </c>
      <c r="O190" s="49">
        <f>MasterMaterials!O195</f>
        <v>45988</v>
      </c>
    </row>
    <row r="191">
      <c r="A191" s="45" t="str">
        <f>MasterMaterials!A196</f>
        <v>Stone, Rock bark or Equivalent, yd</v>
      </c>
      <c r="B191" s="45" t="str">
        <f>MasterMaterials!B196</f>
        <v>LMN40150718</v>
      </c>
      <c r="C191" s="45" t="str">
        <f>MasterMaterials!C196</f>
        <v>H</v>
      </c>
      <c r="D191" s="45" t="str">
        <f>MasterMaterials!D196</f>
        <v/>
      </c>
      <c r="E191" s="45" t="str">
        <f>MasterMaterials!E196</f>
        <v>Stone, Rock bark or Equivalent, yd</v>
      </c>
      <c r="F191" s="45" t="str">
        <f>MasterMaterials!F196</f>
        <v/>
      </c>
      <c r="G191" s="45" t="str">
        <f>MasterMaterials!G196</f>
        <v>yd</v>
      </c>
      <c r="H191" s="45">
        <f>MasterMaterials!H196</f>
        <v>0</v>
      </c>
      <c r="I191" s="46">
        <f>MasterMaterials!I196</f>
        <v>129</v>
      </c>
      <c r="J191" s="47">
        <f>MasterMaterials!J196</f>
        <v>215.63</v>
      </c>
      <c r="K191" s="45" t="str">
        <f>MasterMaterials!K196</f>
        <v/>
      </c>
      <c r="L191" s="45" t="str">
        <f>MasterMaterials!L196</f>
        <v/>
      </c>
      <c r="M191" s="45" t="str">
        <f>MasterMaterials!M196</f>
        <v/>
      </c>
      <c r="N191" s="45" t="str">
        <f>MasterMaterials!N196</f>
        <v/>
      </c>
      <c r="O191" s="49">
        <f>MasterMaterials!O196</f>
        <v>45989</v>
      </c>
    </row>
    <row r="192">
      <c r="A192" s="45" t="str">
        <f>MasterMaterials!A197</f>
        <v>Swing Fittings, ea</v>
      </c>
      <c r="B192" s="45" t="str">
        <f>MasterMaterials!B197</f>
        <v>LMN40150682</v>
      </c>
      <c r="C192" s="45" t="str">
        <f>MasterMaterials!C197</f>
        <v>H</v>
      </c>
      <c r="D192" s="45" t="str">
        <f>MasterMaterials!D197</f>
        <v/>
      </c>
      <c r="E192" s="45" t="str">
        <f>MasterMaterials!E197</f>
        <v>Swing Fittings, ea</v>
      </c>
      <c r="F192" s="45" t="str">
        <f>MasterMaterials!F197</f>
        <v/>
      </c>
      <c r="G192" s="45" t="str">
        <f>MasterMaterials!G197</f>
        <v>ea</v>
      </c>
      <c r="H192" s="45">
        <f>MasterMaterials!H197</f>
        <v>0</v>
      </c>
      <c r="I192" s="46">
        <f>MasterMaterials!I197</f>
        <v>1.1</v>
      </c>
      <c r="J192" s="47">
        <f>MasterMaterials!J197</f>
        <v>1.1</v>
      </c>
      <c r="K192" s="45" t="str">
        <f>MasterMaterials!K197</f>
        <v>Y</v>
      </c>
      <c r="L192" s="45" t="str">
        <f>MasterMaterials!L197</f>
        <v/>
      </c>
      <c r="M192" s="45" t="str">
        <f>MasterMaterials!M197</f>
        <v/>
      </c>
      <c r="N192" s="45" t="str">
        <f>MasterMaterials!N197</f>
        <v/>
      </c>
      <c r="O192" s="49">
        <f>MasterMaterials!O197</f>
        <v>45989</v>
      </c>
    </row>
    <row r="193">
      <c r="A193" s="45" t="str">
        <f>MasterMaterials!A198</f>
        <v>Swing Pipe, ft</v>
      </c>
      <c r="B193" s="45" t="str">
        <f>MasterMaterials!B198</f>
        <v>LMN40150681</v>
      </c>
      <c r="C193" s="45" t="str">
        <f>MasterMaterials!C198</f>
        <v>H</v>
      </c>
      <c r="D193" s="45" t="str">
        <f>MasterMaterials!D198</f>
        <v/>
      </c>
      <c r="E193" s="45" t="str">
        <f>MasterMaterials!E198</f>
        <v>Swing Pipe, ft</v>
      </c>
      <c r="F193" s="45" t="str">
        <f>MasterMaterials!F198</f>
        <v/>
      </c>
      <c r="G193" s="45" t="str">
        <f>MasterMaterials!G198</f>
        <v>ft</v>
      </c>
      <c r="H193" s="45">
        <f>MasterMaterials!H198</f>
        <v>0</v>
      </c>
      <c r="I193" s="46">
        <f>MasterMaterials!I198</f>
        <v>0.51</v>
      </c>
      <c r="J193" s="47">
        <f>MasterMaterials!J198</f>
        <v>0.51</v>
      </c>
      <c r="K193" s="45" t="str">
        <f>MasterMaterials!K198</f>
        <v>Y</v>
      </c>
      <c r="L193" s="45" t="str">
        <f>MasterMaterials!L198</f>
        <v/>
      </c>
      <c r="M193" s="45" t="str">
        <f>MasterMaterials!M198</f>
        <v/>
      </c>
      <c r="N193" s="45" t="str">
        <f>MasterMaterials!N198</f>
        <v/>
      </c>
      <c r="O193" s="49">
        <f>MasterMaterials!O198</f>
        <v>45989</v>
      </c>
    </row>
    <row r="194">
      <c r="A194" s="45" t="str">
        <f>MasterMaterials!A199</f>
        <v>T-post, 6' Metal, ea</v>
      </c>
      <c r="B194" s="45" t="str">
        <f>MasterMaterials!B199</f>
        <v>LMN40150743</v>
      </c>
      <c r="C194" s="45" t="str">
        <f>MasterMaterials!C199</f>
        <v>H</v>
      </c>
      <c r="D194" s="45" t="str">
        <f>MasterMaterials!D199</f>
        <v/>
      </c>
      <c r="E194" s="45" t="str">
        <f>MasterMaterials!E199</f>
        <v>T-post, 6' Metal, ea</v>
      </c>
      <c r="F194" s="45" t="str">
        <f>MasterMaterials!F199</f>
        <v/>
      </c>
      <c r="G194" s="45" t="str">
        <f>MasterMaterials!G199</f>
        <v>ea</v>
      </c>
      <c r="H194" s="45">
        <f>MasterMaterials!H199</f>
        <v>0</v>
      </c>
      <c r="I194" s="46">
        <f>MasterMaterials!I199</f>
        <v>10.18</v>
      </c>
      <c r="J194" s="47">
        <f>MasterMaterials!J199</f>
        <v>12</v>
      </c>
      <c r="K194" s="45" t="str">
        <f>MasterMaterials!K199</f>
        <v/>
      </c>
      <c r="L194" s="45" t="str">
        <f>MasterMaterials!L199</f>
        <v/>
      </c>
      <c r="M194" s="45" t="str">
        <f>MasterMaterials!M199</f>
        <v/>
      </c>
      <c r="N194" s="45" t="str">
        <f>MasterMaterials!N199</f>
        <v/>
      </c>
      <c r="O194" s="49">
        <f>MasterMaterials!O199</f>
        <v>45989</v>
      </c>
    </row>
    <row r="195">
      <c r="A195" s="45" t="str">
        <f>MasterMaterials!A200</f>
        <v>Topsoil, yd</v>
      </c>
      <c r="B195" s="45" t="str">
        <f>MasterMaterials!B200</f>
        <v>LMN40150715</v>
      </c>
      <c r="C195" s="45" t="str">
        <f>MasterMaterials!C200</f>
        <v>H</v>
      </c>
      <c r="D195" s="45" t="str">
        <f>MasterMaterials!D200</f>
        <v/>
      </c>
      <c r="E195" s="45" t="str">
        <f>MasterMaterials!E200</f>
        <v>Topsoil, yd</v>
      </c>
      <c r="F195" s="45" t="str">
        <f>MasterMaterials!F200</f>
        <v/>
      </c>
      <c r="G195" s="45" t="str">
        <f>MasterMaterials!G200</f>
        <v>yd</v>
      </c>
      <c r="H195" s="45">
        <f>MasterMaterials!H200</f>
        <v>0</v>
      </c>
      <c r="I195" s="46">
        <f>MasterMaterials!I200</f>
        <v>28</v>
      </c>
      <c r="J195" s="47">
        <f>MasterMaterials!J200</f>
        <v>46.8</v>
      </c>
      <c r="K195" s="45" t="str">
        <f>MasterMaterials!K200</f>
        <v/>
      </c>
      <c r="L195" s="45" t="str">
        <f>MasterMaterials!L200</f>
        <v/>
      </c>
      <c r="M195" s="45" t="str">
        <f>MasterMaterials!M200</f>
        <v/>
      </c>
      <c r="N195" s="45" t="str">
        <f>MasterMaterials!N200</f>
        <v/>
      </c>
      <c r="O195" s="49">
        <f>MasterMaterials!O200</f>
        <v>45989</v>
      </c>
    </row>
    <row r="196">
      <c r="A196" s="45" t="str">
        <f>MasterMaterials!A201</f>
        <v>Treads, Frontier, ton</v>
      </c>
      <c r="B196" s="45" t="str">
        <f>MasterMaterials!B201</f>
        <v>LMN40150714</v>
      </c>
      <c r="C196" s="45" t="str">
        <f>MasterMaterials!C201</f>
        <v>H</v>
      </c>
      <c r="D196" s="45" t="str">
        <f>MasterMaterials!D201</f>
        <v/>
      </c>
      <c r="E196" s="45" t="str">
        <f>MasterMaterials!E201</f>
        <v>Treads, Frontier, ton</v>
      </c>
      <c r="F196" s="45" t="str">
        <f>MasterMaterials!F201</f>
        <v/>
      </c>
      <c r="G196" s="45" t="str">
        <f>MasterMaterials!G201</f>
        <v>ton</v>
      </c>
      <c r="H196" s="45">
        <f>MasterMaterials!H201</f>
        <v>0</v>
      </c>
      <c r="I196" s="46">
        <f>MasterMaterials!I201</f>
        <v>650</v>
      </c>
      <c r="J196" s="47">
        <f>MasterMaterials!J201</f>
        <v>750</v>
      </c>
      <c r="K196" s="45" t="str">
        <f>MasterMaterials!K201</f>
        <v/>
      </c>
      <c r="L196" s="45" t="str">
        <f>MasterMaterials!L201</f>
        <v/>
      </c>
      <c r="M196" s="45" t="str">
        <f>MasterMaterials!M201</f>
        <v/>
      </c>
      <c r="N196" s="45" t="str">
        <f>MasterMaterials!N201</f>
        <v/>
      </c>
      <c r="O196" s="49">
        <f>MasterMaterials!O201</f>
        <v>45988</v>
      </c>
    </row>
    <row r="197">
      <c r="A197" s="45" t="str">
        <f>MasterMaterials!A202</f>
        <v>Twine, ft</v>
      </c>
      <c r="B197" s="45" t="str">
        <f>MasterMaterials!B202</f>
        <v>NEW032</v>
      </c>
      <c r="C197" s="45" t="str">
        <f>MasterMaterials!C202</f>
        <v>H</v>
      </c>
      <c r="D197" s="45" t="str">
        <f>MasterMaterials!D202</f>
        <v/>
      </c>
      <c r="E197" s="45" t="str">
        <f>MasterMaterials!E202</f>
        <v>Twine, ft</v>
      </c>
      <c r="F197" s="45" t="str">
        <f>MasterMaterials!F202</f>
        <v/>
      </c>
      <c r="G197" s="45" t="str">
        <f>MasterMaterials!G202</f>
        <v>ft</v>
      </c>
      <c r="H197" s="45">
        <f>MasterMaterials!H202</f>
        <v>0</v>
      </c>
      <c r="I197" s="46">
        <f>MasterMaterials!I202</f>
        <v>0.1</v>
      </c>
      <c r="J197" s="47">
        <f>MasterMaterials!J202</f>
        <v>0.1</v>
      </c>
      <c r="K197" s="45" t="str">
        <f>MasterMaterials!K202</f>
        <v>Y</v>
      </c>
      <c r="L197" s="45" t="str">
        <f>MasterMaterials!L202</f>
        <v/>
      </c>
      <c r="M197" s="45" t="str">
        <f>MasterMaterials!M202</f>
        <v/>
      </c>
      <c r="N197" s="45" t="str">
        <f>MasterMaterials!N202</f>
        <v/>
      </c>
      <c r="O197" s="49">
        <f>MasterMaterials!O202</f>
        <v>45988</v>
      </c>
    </row>
    <row r="198">
      <c r="A198" s="45" t="str">
        <f>MasterMaterials!A203</f>
        <v>Valve Box 6" Round, ea</v>
      </c>
      <c r="B198" s="45" t="str">
        <f>MasterMaterials!B203</f>
        <v>NEW051</v>
      </c>
      <c r="C198" s="45" t="str">
        <f>MasterMaterials!C203</f>
        <v/>
      </c>
      <c r="D198" s="45" t="str">
        <f>MasterMaterials!D203</f>
        <v/>
      </c>
      <c r="E198" s="45" t="str">
        <f>MasterMaterials!E203</f>
        <v>Valve Box, 6'' Round, ea</v>
      </c>
      <c r="F198" s="45" t="str">
        <f>MasterMaterials!F203</f>
        <v/>
      </c>
      <c r="G198" s="45" t="str">
        <f>MasterMaterials!G203</f>
        <v>ea</v>
      </c>
      <c r="H198" s="45">
        <f>MasterMaterials!H203</f>
        <v>0</v>
      </c>
      <c r="I198" s="46">
        <f>MasterMaterials!I203</f>
        <v>3.63</v>
      </c>
      <c r="J198" s="47">
        <f>MasterMaterials!J203</f>
        <v>9.63</v>
      </c>
      <c r="K198" s="45" t="str">
        <f>MasterMaterials!K203</f>
        <v>Y</v>
      </c>
      <c r="L198" s="45" t="str">
        <f>MasterMaterials!L203</f>
        <v/>
      </c>
      <c r="M198" s="45" t="str">
        <f>MasterMaterials!M203</f>
        <v/>
      </c>
      <c r="N198" s="45" t="str">
        <f>MasterMaterials!N203</f>
        <v/>
      </c>
      <c r="O198" s="49" t="str">
        <f>MasterMaterials!O203</f>
        <v/>
      </c>
    </row>
    <row r="199">
      <c r="A199" s="45" t="str">
        <f>MasterMaterials!A204</f>
        <v>Valve Box, 10" Round, ea</v>
      </c>
      <c r="B199" s="45" t="str">
        <f>MasterMaterials!B204</f>
        <v>LMN40150678</v>
      </c>
      <c r="C199" s="45" t="str">
        <f>MasterMaterials!C204</f>
        <v>H</v>
      </c>
      <c r="D199" s="45" t="str">
        <f>MasterMaterials!D204</f>
        <v/>
      </c>
      <c r="E199" s="45" t="str">
        <f>MasterMaterials!E204</f>
        <v>Valve Box, 10'' Round, ea</v>
      </c>
      <c r="F199" s="45" t="str">
        <f>MasterMaterials!F204</f>
        <v/>
      </c>
      <c r="G199" s="45" t="str">
        <f>MasterMaterials!G204</f>
        <v>ea</v>
      </c>
      <c r="H199" s="45">
        <f>MasterMaterials!H204</f>
        <v>0</v>
      </c>
      <c r="I199" s="46">
        <f>MasterMaterials!I204</f>
        <v>23.96</v>
      </c>
      <c r="J199" s="47">
        <f>MasterMaterials!J204</f>
        <v>47.92</v>
      </c>
      <c r="K199" s="45" t="str">
        <f>MasterMaterials!K204</f>
        <v>Y</v>
      </c>
      <c r="L199" s="45" t="str">
        <f>MasterMaterials!L204</f>
        <v/>
      </c>
      <c r="M199" s="45" t="str">
        <f>MasterMaterials!M204</f>
        <v/>
      </c>
      <c r="N199" s="45" t="str">
        <f>MasterMaterials!N204</f>
        <v/>
      </c>
      <c r="O199" s="49">
        <f>MasterMaterials!O204</f>
        <v>45988</v>
      </c>
    </row>
    <row r="200">
      <c r="A200" s="45" t="str">
        <f>MasterMaterials!A205</f>
        <v>Valve Box, Jumbo, ea</v>
      </c>
      <c r="B200" s="45" t="str">
        <f>MasterMaterials!B205</f>
        <v>LMN40150677</v>
      </c>
      <c r="C200" s="45" t="str">
        <f>MasterMaterials!C205</f>
        <v>H</v>
      </c>
      <c r="D200" s="45" t="str">
        <f>MasterMaterials!D205</f>
        <v/>
      </c>
      <c r="E200" s="45" t="str">
        <f>MasterMaterials!E205</f>
        <v>Valve Box, Jumbo, ea</v>
      </c>
      <c r="F200" s="45" t="str">
        <f>MasterMaterials!F205</f>
        <v/>
      </c>
      <c r="G200" s="45" t="str">
        <f>MasterMaterials!G205</f>
        <v>ea</v>
      </c>
      <c r="H200" s="45">
        <f>MasterMaterials!H205</f>
        <v>0</v>
      </c>
      <c r="I200" s="46">
        <f>MasterMaterials!I205</f>
        <v>63.38</v>
      </c>
      <c r="J200" s="47">
        <f>MasterMaterials!J205</f>
        <v>149.6</v>
      </c>
      <c r="K200" s="45" t="str">
        <f>MasterMaterials!K205</f>
        <v>Y</v>
      </c>
      <c r="L200" s="45" t="str">
        <f>MasterMaterials!L205</f>
        <v/>
      </c>
      <c r="M200" s="45" t="str">
        <f>MasterMaterials!M205</f>
        <v/>
      </c>
      <c r="N200" s="45" t="str">
        <f>MasterMaterials!N205</f>
        <v/>
      </c>
      <c r="O200" s="49">
        <f>MasterMaterials!O205</f>
        <v>45988</v>
      </c>
    </row>
    <row r="201">
      <c r="A201" s="45" t="str">
        <f>MasterMaterials!A206</f>
        <v>Valve box, Normal Rectangular</v>
      </c>
      <c r="B201" s="45" t="str">
        <f>MasterMaterials!B206</f>
        <v>NEW050</v>
      </c>
      <c r="C201" s="45" t="str">
        <f>MasterMaterials!C206</f>
        <v/>
      </c>
      <c r="D201" s="45" t="str">
        <f>MasterMaterials!D206</f>
        <v/>
      </c>
      <c r="E201" s="45" t="str">
        <f>MasterMaterials!E206</f>
        <v>Valve Box, Rectangular, ea</v>
      </c>
      <c r="F201" s="45" t="str">
        <f>MasterMaterials!F206</f>
        <v/>
      </c>
      <c r="G201" s="45" t="str">
        <f>MasterMaterials!G206</f>
        <v>ea</v>
      </c>
      <c r="H201" s="45">
        <f>MasterMaterials!H206</f>
        <v>0</v>
      </c>
      <c r="I201" s="46">
        <f>MasterMaterials!I206</f>
        <v>38.29</v>
      </c>
      <c r="J201" s="47">
        <f>MasterMaterials!J206</f>
        <v>109.41</v>
      </c>
      <c r="K201" s="45" t="str">
        <f>MasterMaterials!K206</f>
        <v/>
      </c>
      <c r="L201" s="45" t="str">
        <f>MasterMaterials!L206</f>
        <v/>
      </c>
      <c r="M201" s="45" t="str">
        <f>MasterMaterials!M206</f>
        <v/>
      </c>
      <c r="N201" s="45" t="str">
        <f>MasterMaterials!N206</f>
        <v/>
      </c>
      <c r="O201" s="49" t="str">
        <f>MasterMaterials!O206</f>
        <v/>
      </c>
    </row>
    <row r="202">
      <c r="A202" s="45" t="str">
        <f>MasterMaterials!A207</f>
        <v>Weedmat Pins, ea</v>
      </c>
      <c r="B202" s="45" t="str">
        <f>MasterMaterials!B207</f>
        <v>NEW052</v>
      </c>
      <c r="C202" s="45" t="str">
        <f>MasterMaterials!C207</f>
        <v/>
      </c>
      <c r="D202" s="45" t="str">
        <f>MasterMaterials!D207</f>
        <v/>
      </c>
      <c r="E202" s="45" t="str">
        <f>MasterMaterials!E207</f>
        <v>Weedmat Pins, ea</v>
      </c>
      <c r="F202" s="45" t="str">
        <f>MasterMaterials!F207</f>
        <v/>
      </c>
      <c r="G202" s="45" t="str">
        <f>MasterMaterials!G207</f>
        <v>ea</v>
      </c>
      <c r="H202" s="45" t="str">
        <f>MasterMaterials!H207</f>
        <v/>
      </c>
      <c r="I202" s="46">
        <f>MasterMaterials!I207</f>
        <v>0.06</v>
      </c>
      <c r="J202" s="47">
        <f>MasterMaterials!J207</f>
        <v>0.25</v>
      </c>
      <c r="K202" s="45" t="str">
        <f>MasterMaterials!K207</f>
        <v/>
      </c>
      <c r="L202" s="45" t="str">
        <f>MasterMaterials!L207</f>
        <v/>
      </c>
      <c r="M202" s="45" t="str">
        <f>MasterMaterials!M207</f>
        <v/>
      </c>
      <c r="N202" s="45" t="str">
        <f>MasterMaterials!N207</f>
        <v/>
      </c>
      <c r="O202" s="49" t="str">
        <f>MasterMaterials!O207</f>
        <v/>
      </c>
    </row>
    <row r="203">
      <c r="A203" s="45" t="str">
        <f>MasterMaterials!A208</f>
        <v>Weedmat, sf</v>
      </c>
      <c r="B203" s="45" t="str">
        <f>MasterMaterials!B208</f>
        <v>LMN40150728</v>
      </c>
      <c r="C203" s="45" t="str">
        <f>MasterMaterials!C208</f>
        <v>H</v>
      </c>
      <c r="D203" s="45" t="str">
        <f>MasterMaterials!D208</f>
        <v/>
      </c>
      <c r="E203" s="45" t="str">
        <f>MasterMaterials!E208</f>
        <v>Weedmat, sf</v>
      </c>
      <c r="F203" s="45" t="str">
        <f>MasterMaterials!F208</f>
        <v/>
      </c>
      <c r="G203" s="45" t="str">
        <f>MasterMaterials!G208</f>
        <v>sf</v>
      </c>
      <c r="H203" s="45">
        <f>MasterMaterials!H208</f>
        <v>0</v>
      </c>
      <c r="I203" s="46">
        <f>MasterMaterials!I208</f>
        <v>0.17</v>
      </c>
      <c r="J203" s="47">
        <f>MasterMaterials!J208</f>
        <v>0.37</v>
      </c>
      <c r="K203" s="45" t="str">
        <f>MasterMaterials!K208</f>
        <v>Y</v>
      </c>
      <c r="L203" s="45" t="str">
        <f>MasterMaterials!L208</f>
        <v/>
      </c>
      <c r="M203" s="45" t="str">
        <f>MasterMaterials!M208</f>
        <v/>
      </c>
      <c r="N203" s="45" t="str">
        <f>MasterMaterials!N208</f>
        <v/>
      </c>
      <c r="O203" s="49">
        <f>MasterMaterials!O208</f>
        <v>45988</v>
      </c>
    </row>
    <row r="204">
      <c r="A204" s="45" t="str">
        <f>MasterMaterials!A209</f>
        <v>Wildflower Seed, lb</v>
      </c>
      <c r="B204" s="45" t="str">
        <f>MasterMaterials!B209</f>
        <v>LMN40150791</v>
      </c>
      <c r="C204" s="45" t="str">
        <f>MasterMaterials!C209</f>
        <v>H</v>
      </c>
      <c r="D204" s="45" t="str">
        <f>MasterMaterials!D209</f>
        <v/>
      </c>
      <c r="E204" s="45" t="str">
        <f>MasterMaterials!E209</f>
        <v>Wildflower Seed, lb</v>
      </c>
      <c r="F204" s="45" t="str">
        <f>MasterMaterials!F209</f>
        <v/>
      </c>
      <c r="G204" s="45" t="str">
        <f>MasterMaterials!G209</f>
        <v>lb</v>
      </c>
      <c r="H204" s="45">
        <f>MasterMaterials!H209</f>
        <v>0</v>
      </c>
      <c r="I204" s="46">
        <f>MasterMaterials!I209</f>
        <v>100</v>
      </c>
      <c r="J204" s="47">
        <f>MasterMaterials!J209</f>
        <v>167.15</v>
      </c>
      <c r="K204" s="45" t="str">
        <f>MasterMaterials!K209</f>
        <v/>
      </c>
      <c r="L204" s="45" t="str">
        <f>MasterMaterials!L209</f>
        <v/>
      </c>
      <c r="M204" s="45" t="str">
        <f>MasterMaterials!M209</f>
        <v/>
      </c>
      <c r="N204" s="45" t="str">
        <f>MasterMaterials!N209</f>
        <v/>
      </c>
      <c r="O204" s="49">
        <f>MasterMaterials!O209</f>
        <v>45988</v>
      </c>
    </row>
    <row r="205">
      <c r="A205" s="45" t="str">
        <f>MasterMaterials!A210</f>
        <v>Wire Nuts, 3M (pair), ea</v>
      </c>
      <c r="B205" s="45" t="str">
        <f>MasterMaterials!B210</f>
        <v>LMN40150702</v>
      </c>
      <c r="C205" s="45" t="str">
        <f>MasterMaterials!C210</f>
        <v>H</v>
      </c>
      <c r="D205" s="45" t="str">
        <f>MasterMaterials!D210</f>
        <v/>
      </c>
      <c r="E205" s="45" t="str">
        <f>MasterMaterials!E210</f>
        <v>Wire Nuts, 3M (pair), ea</v>
      </c>
      <c r="F205" s="45" t="str">
        <f>MasterMaterials!F210</f>
        <v/>
      </c>
      <c r="G205" s="45" t="str">
        <f>MasterMaterials!G210</f>
        <v>ea</v>
      </c>
      <c r="H205" s="45">
        <f>MasterMaterials!H210</f>
        <v>0</v>
      </c>
      <c r="I205" s="46">
        <f>MasterMaterials!I210</f>
        <v>4.34</v>
      </c>
      <c r="J205" s="47">
        <f>MasterMaterials!J210</f>
        <v>7.25</v>
      </c>
      <c r="K205" s="45" t="str">
        <f>MasterMaterials!K210</f>
        <v/>
      </c>
      <c r="L205" s="45" t="str">
        <f>MasterMaterials!L210</f>
        <v/>
      </c>
      <c r="M205" s="45" t="str">
        <f>MasterMaterials!M210</f>
        <v/>
      </c>
      <c r="N205" s="45" t="str">
        <f>MasterMaterials!N210</f>
        <v/>
      </c>
      <c r="O205" s="49">
        <f>MasterMaterials!O210</f>
        <v>45988</v>
      </c>
    </row>
    <row r="206">
      <c r="A206" s="45" t="str">
        <f>MasterMaterials!A211</f>
        <v>Wire Nuts, Snaplock, ea</v>
      </c>
      <c r="B206" s="45" t="str">
        <f>MasterMaterials!B211</f>
        <v>LMN40150701</v>
      </c>
      <c r="C206" s="45" t="str">
        <f>MasterMaterials!C211</f>
        <v>H</v>
      </c>
      <c r="D206" s="45" t="str">
        <f>MasterMaterials!D211</f>
        <v/>
      </c>
      <c r="E206" s="45" t="str">
        <f>MasterMaterials!E211</f>
        <v>Wire Nuts, Snaplock, ea</v>
      </c>
      <c r="F206" s="45" t="str">
        <f>MasterMaterials!F211</f>
        <v/>
      </c>
      <c r="G206" s="45" t="str">
        <f>MasterMaterials!G211</f>
        <v>ea</v>
      </c>
      <c r="H206" s="45">
        <f>MasterMaterials!H211</f>
        <v>0</v>
      </c>
      <c r="I206" s="46">
        <f>MasterMaterials!I211</f>
        <v>1.3</v>
      </c>
      <c r="J206" s="47">
        <f>MasterMaterials!J211</f>
        <v>2.61</v>
      </c>
      <c r="K206" s="45" t="str">
        <f>MasterMaterials!K211</f>
        <v>Y</v>
      </c>
      <c r="L206" s="45" t="str">
        <f>MasterMaterials!L211</f>
        <v/>
      </c>
      <c r="M206" s="45" t="str">
        <f>MasterMaterials!M211</f>
        <v/>
      </c>
      <c r="N206" s="45" t="str">
        <f>MasterMaterials!N211</f>
        <v/>
      </c>
      <c r="O206" s="49">
        <f>MasterMaterials!O211</f>
        <v>45988</v>
      </c>
    </row>
    <row r="207">
      <c r="A207" s="45" t="str">
        <f>MasterMaterials!A212</f>
        <v>Wire, 2-wire Irrigation Control, ft</v>
      </c>
      <c r="B207" s="45" t="str">
        <f>MasterMaterials!B212</f>
        <v>LMN40150699</v>
      </c>
      <c r="C207" s="45" t="str">
        <f>MasterMaterials!C212</f>
        <v>H</v>
      </c>
      <c r="D207" s="45" t="str">
        <f>MasterMaterials!D212</f>
        <v/>
      </c>
      <c r="E207" s="45" t="str">
        <f>MasterMaterials!E212</f>
        <v>Wire, 2-wire Irrigation Control, ft</v>
      </c>
      <c r="F207" s="45" t="str">
        <f>MasterMaterials!F212</f>
        <v/>
      </c>
      <c r="G207" s="45" t="str">
        <f>MasterMaterials!G212</f>
        <v>ft</v>
      </c>
      <c r="H207" s="45">
        <f>MasterMaterials!H212</f>
        <v>0</v>
      </c>
      <c r="I207" s="46">
        <f>MasterMaterials!I212</f>
        <v>0.57</v>
      </c>
      <c r="J207" s="47">
        <f>MasterMaterials!J212</f>
        <v>1.2</v>
      </c>
      <c r="K207" s="45" t="str">
        <f>MasterMaterials!K212</f>
        <v>Y</v>
      </c>
      <c r="L207" s="45" t="str">
        <f>MasterMaterials!L212</f>
        <v/>
      </c>
      <c r="M207" s="45" t="str">
        <f>MasterMaterials!M212</f>
        <v/>
      </c>
      <c r="N207" s="45" t="str">
        <f>MasterMaterials!N212</f>
        <v/>
      </c>
      <c r="O207" s="49">
        <f>MasterMaterials!O212</f>
        <v>45988</v>
      </c>
    </row>
    <row r="208">
      <c r="A208" s="45" t="str">
        <f>MasterMaterials!A213</f>
        <v>Wire, Irrigation Control (10 Strand), ft</v>
      </c>
      <c r="B208" s="45" t="str">
        <f>MasterMaterials!B213</f>
        <v>LMN40150698</v>
      </c>
      <c r="C208" s="45" t="str">
        <f>MasterMaterials!C213</f>
        <v>H</v>
      </c>
      <c r="D208" s="45" t="str">
        <f>MasterMaterials!D213</f>
        <v/>
      </c>
      <c r="E208" s="45" t="str">
        <f>MasterMaterials!E213</f>
        <v>Wire, 10-strand Irrigation Control, ft</v>
      </c>
      <c r="F208" s="45" t="str">
        <f>MasterMaterials!F213</f>
        <v/>
      </c>
      <c r="G208" s="45" t="str">
        <f>MasterMaterials!G213</f>
        <v>ft</v>
      </c>
      <c r="H208" s="45">
        <f>MasterMaterials!H213</f>
        <v>0</v>
      </c>
      <c r="I208" s="46">
        <f>MasterMaterials!I213</f>
        <v>0.67</v>
      </c>
      <c r="J208" s="47">
        <f>MasterMaterials!J213</f>
        <v>1.56</v>
      </c>
      <c r="K208" s="45" t="str">
        <f>MasterMaterials!K213</f>
        <v>Y</v>
      </c>
      <c r="L208" s="45" t="str">
        <f>MasterMaterials!L213</f>
        <v/>
      </c>
      <c r="M208" s="45" t="str">
        <f>MasterMaterials!M213</f>
        <v/>
      </c>
      <c r="N208" s="45" t="str">
        <f>MasterMaterials!N213</f>
        <v/>
      </c>
      <c r="O208" s="49">
        <f>MasterMaterials!O213</f>
        <v>45988</v>
      </c>
    </row>
    <row r="209">
      <c r="A209" s="45" t="str">
        <f>MasterMaterials!A214</f>
        <v>Wire, Irrigation Control (13 Strand)</v>
      </c>
      <c r="B209" s="45" t="str">
        <f>MasterMaterials!B214</f>
        <v>NEW054</v>
      </c>
      <c r="C209" s="45" t="str">
        <f>MasterMaterials!C214</f>
        <v/>
      </c>
      <c r="D209" s="45" t="str">
        <f>MasterMaterials!D214</f>
        <v/>
      </c>
      <c r="E209" s="45" t="str">
        <f>MasterMaterials!E214</f>
        <v>Wire,13 Strand Irrigation Control, Ft</v>
      </c>
      <c r="F209" s="45" t="str">
        <f>MasterMaterials!F214</f>
        <v/>
      </c>
      <c r="G209" s="45" t="str">
        <f>MasterMaterials!G214</f>
        <v>ft</v>
      </c>
      <c r="H209" s="45">
        <f>MasterMaterials!H214</f>
        <v>0</v>
      </c>
      <c r="I209" s="46">
        <f>MasterMaterials!I214</f>
        <v>0.75</v>
      </c>
      <c r="J209" s="47">
        <f>MasterMaterials!J214</f>
        <v>1.84</v>
      </c>
      <c r="K209" s="45" t="str">
        <f>MasterMaterials!K214</f>
        <v>Y</v>
      </c>
      <c r="L209" s="45" t="str">
        <f>MasterMaterials!L214</f>
        <v/>
      </c>
      <c r="M209" s="45" t="str">
        <f>MasterMaterials!M214</f>
        <v/>
      </c>
      <c r="N209" s="45" t="str">
        <f>MasterMaterials!N214</f>
        <v/>
      </c>
      <c r="O209" s="49" t="str">
        <f>MasterMaterials!O214</f>
        <v/>
      </c>
    </row>
    <row r="210">
      <c r="A210" s="45" t="str">
        <f>MasterMaterials!A215</f>
        <v>Wire, Irrigation Control (7 Strand)</v>
      </c>
      <c r="B210" s="45" t="str">
        <f>MasterMaterials!B215</f>
        <v>NEW053</v>
      </c>
      <c r="C210" s="45" t="str">
        <f>MasterMaterials!C215</f>
        <v/>
      </c>
      <c r="D210" s="45" t="str">
        <f>MasterMaterials!D215</f>
        <v/>
      </c>
      <c r="E210" s="45" t="str">
        <f>MasterMaterials!E215</f>
        <v>Wire, 7 Strand Irrigation Control, Ft</v>
      </c>
      <c r="F210" s="45" t="str">
        <f>MasterMaterials!F215</f>
        <v/>
      </c>
      <c r="G210" s="45" t="str">
        <f>MasterMaterials!G215</f>
        <v>ft</v>
      </c>
      <c r="H210" s="45">
        <f>MasterMaterials!H215</f>
        <v>0</v>
      </c>
      <c r="I210" s="46">
        <f>MasterMaterials!I215</f>
        <v>0.41</v>
      </c>
      <c r="J210" s="47">
        <f>MasterMaterials!J215</f>
        <v>1</v>
      </c>
      <c r="K210" s="45" t="str">
        <f>MasterMaterials!K215</f>
        <v>Y</v>
      </c>
      <c r="L210" s="45" t="str">
        <f>MasterMaterials!L215</f>
        <v/>
      </c>
      <c r="M210" s="45" t="str">
        <f>MasterMaterials!M215</f>
        <v/>
      </c>
      <c r="N210" s="45" t="str">
        <f>MasterMaterials!N215</f>
        <v/>
      </c>
      <c r="O210" s="49" t="str">
        <f>MasterMaterials!O215</f>
        <v/>
      </c>
    </row>
    <row r="211">
      <c r="A211" s="45" t="str">
        <f>MasterMaterials!A216</f>
        <v>Wire, Landscaping Lighting 10 Gauge, ft</v>
      </c>
      <c r="B211" s="45" t="str">
        <f>MasterMaterials!B216</f>
        <v>LMN40150700</v>
      </c>
      <c r="C211" s="45" t="str">
        <f>MasterMaterials!C216</f>
        <v>H</v>
      </c>
      <c r="D211" s="45" t="str">
        <f>MasterMaterials!D216</f>
        <v/>
      </c>
      <c r="E211" s="45" t="str">
        <f>MasterMaterials!E216</f>
        <v>Wire, Landscaping Lighting 10 Gauge, ft</v>
      </c>
      <c r="F211" s="45" t="str">
        <f>MasterMaterials!F216</f>
        <v/>
      </c>
      <c r="G211" s="45" t="str">
        <f>MasterMaterials!G216</f>
        <v>ft</v>
      </c>
      <c r="H211" s="45">
        <f>MasterMaterials!H216</f>
        <v>0</v>
      </c>
      <c r="I211" s="46">
        <f>MasterMaterials!I216</f>
        <v>0.75</v>
      </c>
      <c r="J211" s="47">
        <f>MasterMaterials!J216</f>
        <v>1.84</v>
      </c>
      <c r="K211" s="45" t="str">
        <f>MasterMaterials!K216</f>
        <v>Y</v>
      </c>
      <c r="L211" s="45" t="str">
        <f>MasterMaterials!L216</f>
        <v/>
      </c>
      <c r="M211" s="45" t="str">
        <f>MasterMaterials!M216</f>
        <v/>
      </c>
      <c r="N211" s="45" t="str">
        <f>MasterMaterials!N216</f>
        <v/>
      </c>
      <c r="O211" s="49">
        <f>MasterMaterials!O216</f>
        <v>45988</v>
      </c>
    </row>
    <row r="212">
      <c r="A212" s="45" t="str">
        <f>MasterMaterials!A217</f>
        <v>Wood Tree Post, ea</v>
      </c>
      <c r="B212" s="45" t="str">
        <f>MasterMaterials!B217</f>
        <v>LMN40150745</v>
      </c>
      <c r="C212" s="45" t="str">
        <f>MasterMaterials!C217</f>
        <v>H</v>
      </c>
      <c r="D212" s="45" t="str">
        <f>MasterMaterials!D217</f>
        <v/>
      </c>
      <c r="E212" s="45" t="str">
        <f>MasterMaterials!E217</f>
        <v>Wood Tree Post, ea</v>
      </c>
      <c r="F212" s="45" t="str">
        <f>MasterMaterials!F217</f>
        <v/>
      </c>
      <c r="G212" s="45" t="str">
        <f>MasterMaterials!G217</f>
        <v>ea</v>
      </c>
      <c r="H212" s="45">
        <f>MasterMaterials!H217</f>
        <v>0</v>
      </c>
      <c r="I212" s="46">
        <f>MasterMaterials!I217</f>
        <v>3.35</v>
      </c>
      <c r="J212" s="47">
        <f>MasterMaterials!J217</f>
        <v>5.63</v>
      </c>
      <c r="K212" s="45" t="str">
        <f>MasterMaterials!K217</f>
        <v>Y</v>
      </c>
      <c r="L212" s="45" t="str">
        <f>MasterMaterials!L217</f>
        <v/>
      </c>
      <c r="M212" s="45" t="str">
        <f>MasterMaterials!M217</f>
        <v/>
      </c>
      <c r="N212" s="45" t="str">
        <f>MasterMaterials!N217</f>
        <v/>
      </c>
      <c r="O212" s="49">
        <f>MasterMaterials!O217</f>
        <v>45989</v>
      </c>
    </row>
    <row r="213">
      <c r="A213" s="45" t="str">
        <f>MasterMaterials!A218</f>
        <v>1" Poly Repair Bundle, ea</v>
      </c>
      <c r="B213" s="45" t="str">
        <f>MasterMaterials!B218</f>
        <v>NEW055</v>
      </c>
      <c r="C213" s="45" t="str">
        <f>MasterMaterials!C218</f>
        <v>H</v>
      </c>
      <c r="D213" s="45" t="str">
        <f>MasterMaterials!D218</f>
        <v/>
      </c>
      <c r="E213" s="45" t="str">
        <f>MasterMaterials!E218</f>
        <v>1" Poly Repair Bundle, ea</v>
      </c>
      <c r="F213" s="45" t="str">
        <f>MasterMaterials!F218</f>
        <v/>
      </c>
      <c r="G213" s="45" t="str">
        <f>MasterMaterials!G218</f>
        <v>ea</v>
      </c>
      <c r="H213" s="45">
        <f>MasterMaterials!H218</f>
        <v>0</v>
      </c>
      <c r="I213" s="46" t="str">
        <f>MasterMaterials!I218</f>
        <v/>
      </c>
      <c r="J213" s="47">
        <f>MasterMaterials!J218</f>
        <v>11.24</v>
      </c>
      <c r="K213" s="45" t="str">
        <f>MasterMaterials!K218</f>
        <v>Y</v>
      </c>
      <c r="L213" s="45" t="str">
        <f>MasterMaterials!L218</f>
        <v/>
      </c>
      <c r="M213" s="45" t="str">
        <f>MasterMaterials!M218</f>
        <v/>
      </c>
      <c r="N213" s="45" t="str">
        <f>MasterMaterials!N218</f>
        <v/>
      </c>
      <c r="O213" s="49">
        <f>MasterMaterials!O218</f>
        <v>46131</v>
      </c>
    </row>
    <row r="214">
      <c r="A214" s="45" t="str">
        <f>MasterMaterials!A219</f>
        <v>1.25" Poly Repair Bundle, ea</v>
      </c>
      <c r="B214" s="45" t="str">
        <f>MasterMaterials!B219</f>
        <v>NEW056</v>
      </c>
      <c r="C214" s="45" t="str">
        <f>MasterMaterials!C219</f>
        <v>H</v>
      </c>
      <c r="D214" s="45" t="str">
        <f>MasterMaterials!D219</f>
        <v/>
      </c>
      <c r="E214" s="45" t="str">
        <f>MasterMaterials!E219</f>
        <v>1.25" Poly Repair Bundle, ea</v>
      </c>
      <c r="F214" s="45" t="str">
        <f>MasterMaterials!F219</f>
        <v/>
      </c>
      <c r="G214" s="45" t="str">
        <f>MasterMaterials!G219</f>
        <v>ea</v>
      </c>
      <c r="H214" s="45">
        <f>MasterMaterials!H219</f>
        <v>0</v>
      </c>
      <c r="I214" s="46" t="str">
        <f>MasterMaterials!I219</f>
        <v/>
      </c>
      <c r="J214" s="47">
        <f>MasterMaterials!J219</f>
        <v>6.92</v>
      </c>
      <c r="K214" s="45" t="str">
        <f>MasterMaterials!K219</f>
        <v>Y</v>
      </c>
      <c r="L214" s="45" t="str">
        <f>MasterMaterials!L219</f>
        <v/>
      </c>
      <c r="M214" s="45" t="str">
        <f>MasterMaterials!M219</f>
        <v/>
      </c>
      <c r="N214" s="45" t="str">
        <f>MasterMaterials!N219</f>
        <v/>
      </c>
      <c r="O214" s="49">
        <f>MasterMaterials!O219</f>
        <v>46131</v>
      </c>
    </row>
    <row r="215">
      <c r="A215" s="45" t="str">
        <f>MasterMaterials!A220</f>
        <v>1.5" Poly Repair Bundle, ea</v>
      </c>
      <c r="B215" s="45" t="str">
        <f>MasterMaterials!B220</f>
        <v>NEW057</v>
      </c>
      <c r="C215" s="45" t="str">
        <f>MasterMaterials!C220</f>
        <v>H</v>
      </c>
      <c r="D215" s="45" t="str">
        <f>MasterMaterials!D220</f>
        <v/>
      </c>
      <c r="E215" s="45" t="str">
        <f>MasterMaterials!E220</f>
        <v>1.5" Poly Repair Bundle, ea</v>
      </c>
      <c r="F215" s="45" t="str">
        <f>MasterMaterials!F220</f>
        <v/>
      </c>
      <c r="G215" s="45" t="str">
        <f>MasterMaterials!G220</f>
        <v>ea</v>
      </c>
      <c r="H215" s="45">
        <f>MasterMaterials!H220</f>
        <v>0</v>
      </c>
      <c r="I215" s="46" t="str">
        <f>MasterMaterials!I220</f>
        <v/>
      </c>
      <c r="J215" s="47">
        <f>MasterMaterials!J220</f>
        <v>32.68</v>
      </c>
      <c r="K215" s="45" t="str">
        <f>MasterMaterials!K220</f>
        <v>Y</v>
      </c>
      <c r="L215" s="45" t="str">
        <f>MasterMaterials!L220</f>
        <v/>
      </c>
      <c r="M215" s="45" t="str">
        <f>MasterMaterials!M220</f>
        <v/>
      </c>
      <c r="N215" s="45" t="str">
        <f>MasterMaterials!N220</f>
        <v/>
      </c>
      <c r="O215" s="49">
        <f>MasterMaterials!O220</f>
        <v>46131</v>
      </c>
    </row>
    <row r="216">
      <c r="A216" s="45" t="str">
        <f>MasterMaterials!A221</f>
        <v>Wire Splice Bundle (7 Strand), ea</v>
      </c>
      <c r="B216" s="45" t="str">
        <f>MasterMaterials!B221</f>
        <v>NEW058</v>
      </c>
      <c r="C216" s="45" t="str">
        <f>MasterMaterials!C221</f>
        <v>H</v>
      </c>
      <c r="D216" s="45" t="str">
        <f>MasterMaterials!D221</f>
        <v/>
      </c>
      <c r="E216" s="45" t="str">
        <f>MasterMaterials!E221</f>
        <v>Wire Splice Bundle (7 Strand), ea</v>
      </c>
      <c r="F216" s="45" t="str">
        <f>MasterMaterials!F221</f>
        <v/>
      </c>
      <c r="G216" s="45" t="str">
        <f>MasterMaterials!G221</f>
        <v>ea</v>
      </c>
      <c r="H216" s="45">
        <f>MasterMaterials!H221</f>
        <v>0</v>
      </c>
      <c r="I216" s="46" t="str">
        <f>MasterMaterials!I221</f>
        <v/>
      </c>
      <c r="J216" s="47">
        <f>MasterMaterials!J221</f>
        <v>48.17</v>
      </c>
      <c r="K216" s="45" t="str">
        <f>MasterMaterials!K221</f>
        <v>Y</v>
      </c>
      <c r="L216" s="45" t="str">
        <f>MasterMaterials!L221</f>
        <v/>
      </c>
      <c r="M216" s="45" t="str">
        <f>MasterMaterials!M221</f>
        <v/>
      </c>
      <c r="N216" s="45" t="str">
        <f>MasterMaterials!N221</f>
        <v/>
      </c>
      <c r="O216" s="49">
        <f>MasterMaterials!O221</f>
        <v>46131</v>
      </c>
    </row>
    <row r="217">
      <c r="A217" s="45" t="str">
        <f>MasterMaterials!A222</f>
        <v>Wire Splice Bundle (10 Strand), ea</v>
      </c>
      <c r="B217" s="45" t="str">
        <f>MasterMaterials!B222</f>
        <v>NEW059</v>
      </c>
      <c r="C217" s="45" t="str">
        <f>MasterMaterials!C222</f>
        <v>H</v>
      </c>
      <c r="D217" s="45" t="str">
        <f>MasterMaterials!D222</f>
        <v/>
      </c>
      <c r="E217" s="45" t="str">
        <f>MasterMaterials!E222</f>
        <v>Wire Splice Bundle (10 Strand), ea</v>
      </c>
      <c r="F217" s="45" t="str">
        <f>MasterMaterials!F222</f>
        <v/>
      </c>
      <c r="G217" s="45" t="str">
        <f>MasterMaterials!G222</f>
        <v>ea</v>
      </c>
      <c r="H217" s="45">
        <f>MasterMaterials!H222</f>
        <v>0</v>
      </c>
      <c r="I217" s="46" t="str">
        <f>MasterMaterials!I222</f>
        <v/>
      </c>
      <c r="J217" s="47">
        <f>MasterMaterials!J222</f>
        <v>64.95</v>
      </c>
      <c r="K217" s="45" t="str">
        <f>MasterMaterials!K222</f>
        <v>Y</v>
      </c>
      <c r="L217" s="45" t="str">
        <f>MasterMaterials!L222</f>
        <v/>
      </c>
      <c r="M217" s="45" t="str">
        <f>MasterMaterials!M222</f>
        <v/>
      </c>
      <c r="N217" s="45" t="str">
        <f>MasterMaterials!N222</f>
        <v/>
      </c>
      <c r="O217" s="49">
        <f>MasterMaterials!O222</f>
        <v>46131</v>
      </c>
    </row>
    <row r="218">
      <c r="A218" s="45" t="str">
        <f>MasterMaterials!A223</f>
        <v>Wire Splice Bundle (13 Strand), ea</v>
      </c>
      <c r="B218" s="45" t="str">
        <f>MasterMaterials!B223</f>
        <v>NEW060</v>
      </c>
      <c r="C218" s="45" t="str">
        <f>MasterMaterials!C223</f>
        <v>H</v>
      </c>
      <c r="D218" s="45" t="str">
        <f>MasterMaterials!D223</f>
        <v/>
      </c>
      <c r="E218" s="45" t="str">
        <f>MasterMaterials!E223</f>
        <v>Wire Splice Bundle (13 Strand), ea</v>
      </c>
      <c r="F218" s="45" t="str">
        <f>MasterMaterials!F223</f>
        <v/>
      </c>
      <c r="G218" s="45" t="str">
        <f>MasterMaterials!G223</f>
        <v>ea</v>
      </c>
      <c r="H218" s="45">
        <f>MasterMaterials!H223</f>
        <v>0</v>
      </c>
      <c r="I218" s="46" t="str">
        <f>MasterMaterials!I223</f>
        <v/>
      </c>
      <c r="J218" s="47">
        <f>MasterMaterials!J223</f>
        <v>81.17</v>
      </c>
      <c r="K218" s="45" t="str">
        <f>MasterMaterials!K223</f>
        <v>Y</v>
      </c>
      <c r="L218" s="45" t="str">
        <f>MasterMaterials!L223</f>
        <v/>
      </c>
      <c r="M218" s="45" t="str">
        <f>MasterMaterials!M223</f>
        <v/>
      </c>
      <c r="N218" s="45" t="str">
        <f>MasterMaterials!N223</f>
        <v/>
      </c>
      <c r="O218" s="49">
        <f>MasterMaterials!O223</f>
        <v>46131</v>
      </c>
    </row>
    <row r="219">
      <c r="A219" s="45" t="str">
        <f t="shared" ref="A219:O219" si="1">#REF!</f>
        <v>#REF!</v>
      </c>
      <c r="B219" s="45" t="str">
        <f t="shared" si="1"/>
        <v>#REF!</v>
      </c>
      <c r="C219" s="45" t="str">
        <f t="shared" si="1"/>
        <v>#REF!</v>
      </c>
      <c r="D219" s="45" t="str">
        <f t="shared" si="1"/>
        <v>#REF!</v>
      </c>
      <c r="E219" s="45" t="str">
        <f t="shared" si="1"/>
        <v>#REF!</v>
      </c>
      <c r="F219" s="45" t="str">
        <f t="shared" si="1"/>
        <v>#REF!</v>
      </c>
      <c r="G219" s="45" t="str">
        <f t="shared" si="1"/>
        <v>#REF!</v>
      </c>
      <c r="H219" s="45" t="str">
        <f t="shared" si="1"/>
        <v>#REF!</v>
      </c>
      <c r="I219" s="45" t="str">
        <f t="shared" si="1"/>
        <v>#REF!</v>
      </c>
      <c r="J219" s="45" t="str">
        <f t="shared" si="1"/>
        <v>#REF!</v>
      </c>
      <c r="K219" s="45" t="str">
        <f t="shared" si="1"/>
        <v>#REF!</v>
      </c>
      <c r="L219" s="45" t="str">
        <f t="shared" si="1"/>
        <v>#REF!</v>
      </c>
      <c r="M219" s="45" t="str">
        <f t="shared" si="1"/>
        <v>#REF!</v>
      </c>
      <c r="N219" s="45" t="str">
        <f t="shared" si="1"/>
        <v>#REF!</v>
      </c>
      <c r="O219" s="45" t="str">
        <f t="shared" si="1"/>
        <v>#REF!</v>
      </c>
    </row>
    <row r="220">
      <c r="A220" s="45" t="str">
        <f t="shared" ref="A220:O220" si="2">#REF!</f>
        <v>#REF!</v>
      </c>
      <c r="B220" s="45" t="str">
        <f t="shared" si="2"/>
        <v>#REF!</v>
      </c>
      <c r="C220" s="45" t="str">
        <f t="shared" si="2"/>
        <v>#REF!</v>
      </c>
      <c r="D220" s="45" t="str">
        <f t="shared" si="2"/>
        <v>#REF!</v>
      </c>
      <c r="E220" s="45" t="str">
        <f t="shared" si="2"/>
        <v>#REF!</v>
      </c>
      <c r="F220" s="45" t="str">
        <f t="shared" si="2"/>
        <v>#REF!</v>
      </c>
      <c r="G220" s="45" t="str">
        <f t="shared" si="2"/>
        <v>#REF!</v>
      </c>
      <c r="H220" s="45" t="str">
        <f t="shared" si="2"/>
        <v>#REF!</v>
      </c>
      <c r="I220" s="45" t="str">
        <f t="shared" si="2"/>
        <v>#REF!</v>
      </c>
      <c r="J220" s="45" t="str">
        <f t="shared" si="2"/>
        <v>#REF!</v>
      </c>
      <c r="K220" s="45" t="str">
        <f t="shared" si="2"/>
        <v>#REF!</v>
      </c>
      <c r="L220" s="45" t="str">
        <f t="shared" si="2"/>
        <v>#REF!</v>
      </c>
      <c r="M220" s="45" t="str">
        <f t="shared" si="2"/>
        <v>#REF!</v>
      </c>
      <c r="N220" s="45" t="str">
        <f t="shared" si="2"/>
        <v>#REF!</v>
      </c>
      <c r="O220" s="45" t="str">
        <f t="shared" si="2"/>
        <v>#REF!</v>
      </c>
    </row>
    <row r="221">
      <c r="A221" s="45" t="str">
        <f>MasterMaterials!A226</f>
        <v/>
      </c>
      <c r="B221" s="45" t="str">
        <f>MasterMaterials!B226</f>
        <v/>
      </c>
      <c r="C221" s="45" t="str">
        <f>MasterMaterials!C226</f>
        <v/>
      </c>
      <c r="D221" s="45" t="str">
        <f>MasterMaterials!D226</f>
        <v/>
      </c>
      <c r="E221" s="45" t="str">
        <f>MasterMaterials!E226</f>
        <v/>
      </c>
      <c r="F221" s="45" t="str">
        <f>MasterMaterials!F226</f>
        <v/>
      </c>
      <c r="G221" s="45" t="str">
        <f>MasterMaterials!G226</f>
        <v/>
      </c>
      <c r="H221" s="45" t="str">
        <f>MasterMaterials!H226</f>
        <v/>
      </c>
      <c r="I221" s="46" t="str">
        <f>MasterMaterials!I226</f>
        <v/>
      </c>
      <c r="J221" s="47" t="str">
        <f>MasterMaterials!J226</f>
        <v/>
      </c>
      <c r="K221" s="45" t="str">
        <f>MasterMaterials!K226</f>
        <v/>
      </c>
      <c r="L221" s="45" t="str">
        <f>MasterMaterials!L226</f>
        <v/>
      </c>
      <c r="M221" s="45" t="str">
        <f>MasterMaterials!M226</f>
        <v/>
      </c>
      <c r="N221" s="45" t="str">
        <f>MasterMaterials!N226</f>
        <v/>
      </c>
      <c r="O221" s="48" t="str">
        <f>MasterMaterials!O226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3" max="3" width="20.0"/>
    <col hidden="1" min="8" max="17" width="12.63"/>
    <col customWidth="1" min="19" max="19" width="14.88"/>
    <col customWidth="1" min="20" max="20" width="20.63"/>
    <col customWidth="1" min="21" max="21" width="19.63"/>
    <col customWidth="1" min="22" max="22" width="23.38"/>
    <col customWidth="1" min="23" max="23" width="29.88"/>
  </cols>
  <sheetData>
    <row r="1">
      <c r="A1" s="52" t="s">
        <v>491</v>
      </c>
      <c r="B1" s="52" t="s">
        <v>492</v>
      </c>
      <c r="C1" s="52" t="s">
        <v>493</v>
      </c>
      <c r="D1" s="52" t="s">
        <v>494</v>
      </c>
      <c r="E1" s="52" t="s">
        <v>495</v>
      </c>
      <c r="F1" s="52" t="s">
        <v>496</v>
      </c>
      <c r="G1" s="52" t="s">
        <v>497</v>
      </c>
      <c r="H1" s="52" t="s">
        <v>714</v>
      </c>
      <c r="I1" s="52" t="s">
        <v>715</v>
      </c>
      <c r="J1" s="52" t="s">
        <v>716</v>
      </c>
      <c r="K1" s="52" t="s">
        <v>717</v>
      </c>
      <c r="L1" s="52" t="s">
        <v>718</v>
      </c>
      <c r="M1" s="52" t="s">
        <v>719</v>
      </c>
      <c r="N1" s="52" t="s">
        <v>720</v>
      </c>
      <c r="O1" s="52" t="s">
        <v>721</v>
      </c>
      <c r="P1" s="52" t="s">
        <v>722</v>
      </c>
      <c r="Q1" s="52" t="s">
        <v>723</v>
      </c>
      <c r="R1" s="52" t="s">
        <v>9</v>
      </c>
      <c r="S1" s="52" t="s">
        <v>8</v>
      </c>
      <c r="T1" s="52" t="s">
        <v>498</v>
      </c>
      <c r="U1" s="52" t="s">
        <v>499</v>
      </c>
      <c r="V1" s="52" t="s">
        <v>500</v>
      </c>
      <c r="W1" s="52" t="s">
        <v>501</v>
      </c>
      <c r="X1" s="52" t="s">
        <v>502</v>
      </c>
      <c r="Y1" s="52" t="s">
        <v>503</v>
      </c>
      <c r="Z1" s="53"/>
    </row>
    <row r="2">
      <c r="A2" s="54" t="s">
        <v>724</v>
      </c>
      <c r="B2" s="55"/>
      <c r="C2" s="55"/>
      <c r="D2" s="54" t="s">
        <v>725</v>
      </c>
      <c r="E2" s="54" t="s">
        <v>506</v>
      </c>
      <c r="F2" s="54" t="s">
        <v>726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>
        <v>89.0</v>
      </c>
      <c r="S2" s="56">
        <v>30.75</v>
      </c>
      <c r="T2" s="54" t="s">
        <v>726</v>
      </c>
      <c r="U2" s="55"/>
      <c r="V2" s="55"/>
      <c r="W2" s="54" t="s">
        <v>724</v>
      </c>
      <c r="X2" s="55"/>
      <c r="Y2" s="55"/>
    </row>
    <row r="3">
      <c r="A3" s="54" t="s">
        <v>727</v>
      </c>
      <c r="B3" s="55"/>
      <c r="C3" s="55"/>
      <c r="D3" s="54" t="s">
        <v>725</v>
      </c>
      <c r="E3" s="54" t="s">
        <v>506</v>
      </c>
      <c r="F3" s="54" t="s">
        <v>726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6">
        <v>250.0</v>
      </c>
      <c r="S3" s="56">
        <v>0.0</v>
      </c>
      <c r="T3" s="54" t="s">
        <v>726</v>
      </c>
      <c r="U3" s="55"/>
      <c r="V3" s="55"/>
      <c r="W3" s="54" t="s">
        <v>727</v>
      </c>
      <c r="X3" s="55"/>
      <c r="Y3" s="55"/>
    </row>
    <row r="4">
      <c r="A4" s="54" t="s">
        <v>728</v>
      </c>
      <c r="B4" s="55"/>
      <c r="C4" s="55"/>
      <c r="D4" s="54" t="s">
        <v>725</v>
      </c>
      <c r="E4" s="54" t="s">
        <v>506</v>
      </c>
      <c r="F4" s="54" t="s">
        <v>726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6">
        <v>150.0</v>
      </c>
      <c r="S4" s="56">
        <v>0.0</v>
      </c>
      <c r="T4" s="54" t="s">
        <v>726</v>
      </c>
      <c r="U4" s="55"/>
      <c r="V4" s="55"/>
      <c r="W4" s="54" t="s">
        <v>728</v>
      </c>
      <c r="X4" s="55"/>
      <c r="Y4" s="55"/>
    </row>
    <row r="5">
      <c r="A5" s="54" t="s">
        <v>729</v>
      </c>
      <c r="B5" s="55"/>
      <c r="C5" s="55"/>
      <c r="D5" s="54" t="s">
        <v>725</v>
      </c>
      <c r="E5" s="54" t="s">
        <v>506</v>
      </c>
      <c r="F5" s="54" t="s">
        <v>726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6">
        <v>125.0</v>
      </c>
      <c r="S5" s="56">
        <v>60.72</v>
      </c>
      <c r="T5" s="54" t="s">
        <v>726</v>
      </c>
      <c r="U5" s="55"/>
      <c r="V5" s="55"/>
      <c r="W5" s="54" t="s">
        <v>729</v>
      </c>
      <c r="X5" s="55"/>
      <c r="Y5" s="55"/>
    </row>
    <row r="6">
      <c r="A6" s="54" t="s">
        <v>730</v>
      </c>
      <c r="B6" s="55"/>
      <c r="C6" s="55"/>
      <c r="D6" s="54" t="s">
        <v>725</v>
      </c>
      <c r="E6" s="54" t="s">
        <v>506</v>
      </c>
      <c r="F6" s="54" t="s">
        <v>726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6">
        <v>95.0</v>
      </c>
      <c r="S6" s="56">
        <v>0.0</v>
      </c>
      <c r="T6" s="54" t="s">
        <v>726</v>
      </c>
      <c r="U6" s="55"/>
      <c r="V6" s="55"/>
      <c r="W6" s="54" t="s">
        <v>730</v>
      </c>
      <c r="X6" s="55"/>
      <c r="Y6" s="55"/>
    </row>
    <row r="7">
      <c r="A7" s="54" t="s">
        <v>731</v>
      </c>
      <c r="B7" s="55"/>
      <c r="C7" s="55"/>
      <c r="D7" s="54" t="s">
        <v>725</v>
      </c>
      <c r="E7" s="54" t="s">
        <v>506</v>
      </c>
      <c r="F7" s="54" t="s">
        <v>726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6">
        <v>79.0</v>
      </c>
      <c r="S7" s="56">
        <v>0.0</v>
      </c>
      <c r="T7" s="54" t="s">
        <v>726</v>
      </c>
      <c r="U7" s="55"/>
      <c r="V7" s="55"/>
      <c r="W7" s="54" t="s">
        <v>731</v>
      </c>
      <c r="X7" s="55"/>
      <c r="Y7" s="55"/>
    </row>
    <row r="8">
      <c r="A8" s="54" t="s">
        <v>732</v>
      </c>
      <c r="B8" s="55"/>
      <c r="C8" s="55"/>
      <c r="D8" s="54" t="s">
        <v>725</v>
      </c>
      <c r="E8" s="54" t="s">
        <v>506</v>
      </c>
      <c r="F8" s="54" t="s">
        <v>726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6">
        <v>75.0</v>
      </c>
      <c r="S8" s="56">
        <v>31.34</v>
      </c>
      <c r="T8" s="54" t="s">
        <v>726</v>
      </c>
      <c r="U8" s="55"/>
      <c r="V8" s="55"/>
      <c r="W8" s="54" t="s">
        <v>732</v>
      </c>
      <c r="X8" s="55"/>
      <c r="Y8" s="55"/>
    </row>
    <row r="9">
      <c r="A9" s="54" t="s">
        <v>733</v>
      </c>
      <c r="B9" s="55"/>
      <c r="C9" s="55"/>
      <c r="D9" s="54" t="s">
        <v>725</v>
      </c>
      <c r="E9" s="54" t="s">
        <v>506</v>
      </c>
      <c r="F9" s="54" t="s">
        <v>726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6">
        <v>150.0</v>
      </c>
      <c r="S9" s="56">
        <v>0.0</v>
      </c>
      <c r="T9" s="54" t="s">
        <v>726</v>
      </c>
      <c r="U9" s="55"/>
      <c r="V9" s="55"/>
      <c r="W9" s="54" t="s">
        <v>733</v>
      </c>
      <c r="X9" s="55"/>
      <c r="Y9" s="55"/>
    </row>
    <row r="10">
      <c r="A10" s="54" t="s">
        <v>734</v>
      </c>
      <c r="B10" s="55"/>
      <c r="C10" s="55"/>
      <c r="D10" s="54" t="s">
        <v>725</v>
      </c>
      <c r="E10" s="54" t="s">
        <v>506</v>
      </c>
      <c r="F10" s="54" t="s">
        <v>726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6">
        <v>95.0</v>
      </c>
      <c r="S10" s="56">
        <v>0.0</v>
      </c>
      <c r="T10" s="54" t="s">
        <v>726</v>
      </c>
      <c r="U10" s="55"/>
      <c r="V10" s="55"/>
      <c r="W10" s="54" t="s">
        <v>734</v>
      </c>
      <c r="X10" s="55"/>
      <c r="Y10" s="55"/>
    </row>
    <row r="11">
      <c r="A11" s="54" t="s">
        <v>735</v>
      </c>
      <c r="B11" s="55"/>
      <c r="C11" s="55"/>
      <c r="D11" s="54" t="s">
        <v>725</v>
      </c>
      <c r="E11" s="54" t="s">
        <v>506</v>
      </c>
      <c r="F11" s="54" t="s">
        <v>726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6">
        <v>195.0</v>
      </c>
      <c r="S11" s="56">
        <v>0.0</v>
      </c>
      <c r="T11" s="54" t="s">
        <v>726</v>
      </c>
      <c r="U11" s="55"/>
      <c r="V11" s="55"/>
      <c r="W11" s="54" t="s">
        <v>735</v>
      </c>
      <c r="X11" s="55"/>
      <c r="Y11" s="55"/>
    </row>
    <row r="12">
      <c r="A12" s="54" t="s">
        <v>736</v>
      </c>
      <c r="B12" s="55"/>
      <c r="C12" s="55"/>
      <c r="D12" s="54" t="s">
        <v>725</v>
      </c>
      <c r="E12" s="54" t="s">
        <v>506</v>
      </c>
      <c r="F12" s="54" t="s">
        <v>737</v>
      </c>
      <c r="G12" s="54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6">
        <v>1080.0</v>
      </c>
      <c r="S12" s="56">
        <v>900.0</v>
      </c>
      <c r="T12" s="54" t="s">
        <v>737</v>
      </c>
      <c r="U12" s="54"/>
      <c r="V12" s="55"/>
      <c r="W12" s="54" t="s">
        <v>736</v>
      </c>
      <c r="X12" s="55"/>
      <c r="Y12" s="55"/>
    </row>
    <row r="13">
      <c r="A13" s="54" t="s">
        <v>738</v>
      </c>
      <c r="B13" s="55"/>
      <c r="C13" s="55"/>
      <c r="D13" s="54" t="s">
        <v>725</v>
      </c>
      <c r="E13" s="54" t="s">
        <v>506</v>
      </c>
      <c r="F13" s="54" t="s">
        <v>737</v>
      </c>
      <c r="G13" s="54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6">
        <v>240.0</v>
      </c>
      <c r="S13" s="56">
        <v>200.0</v>
      </c>
      <c r="T13" s="54" t="s">
        <v>737</v>
      </c>
      <c r="U13" s="54"/>
      <c r="V13" s="55"/>
      <c r="W13" s="54" t="s">
        <v>739</v>
      </c>
      <c r="X13" s="55"/>
      <c r="Y13" s="55"/>
    </row>
    <row r="14">
      <c r="A14" s="54" t="s">
        <v>740</v>
      </c>
      <c r="B14" s="55"/>
      <c r="C14" s="55"/>
      <c r="D14" s="54" t="s">
        <v>725</v>
      </c>
      <c r="E14" s="54" t="s">
        <v>506</v>
      </c>
      <c r="F14" s="54" t="s">
        <v>737</v>
      </c>
      <c r="G14" s="54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6">
        <v>195.0</v>
      </c>
      <c r="S14" s="56">
        <v>21.57</v>
      </c>
      <c r="T14" s="54" t="s">
        <v>737</v>
      </c>
      <c r="U14" s="54"/>
      <c r="V14" s="55"/>
      <c r="W14" s="54" t="s">
        <v>741</v>
      </c>
      <c r="X14" s="55"/>
      <c r="Y14" s="55"/>
    </row>
    <row r="15">
      <c r="A15" s="54" t="s">
        <v>742</v>
      </c>
      <c r="B15" s="55"/>
      <c r="C15" s="55"/>
      <c r="D15" s="54" t="s">
        <v>725</v>
      </c>
      <c r="E15" s="54" t="s">
        <v>506</v>
      </c>
      <c r="F15" s="54" t="s">
        <v>737</v>
      </c>
      <c r="G15" s="54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6">
        <v>480.0</v>
      </c>
      <c r="S15" s="56">
        <v>42.0</v>
      </c>
      <c r="T15" s="54" t="s">
        <v>737</v>
      </c>
      <c r="U15" s="54"/>
      <c r="V15" s="55"/>
      <c r="W15" s="54" t="s">
        <v>743</v>
      </c>
      <c r="X15" s="55"/>
      <c r="Y15" s="55"/>
    </row>
    <row r="16">
      <c r="A16" s="54" t="s">
        <v>744</v>
      </c>
      <c r="B16" s="55"/>
      <c r="C16" s="55"/>
      <c r="D16" s="54" t="s">
        <v>725</v>
      </c>
      <c r="E16" s="54" t="s">
        <v>506</v>
      </c>
      <c r="F16" s="54" t="s">
        <v>737</v>
      </c>
      <c r="G16" s="54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6">
        <v>95.0</v>
      </c>
      <c r="S16" s="56">
        <v>5.5</v>
      </c>
      <c r="T16" s="54" t="s">
        <v>737</v>
      </c>
      <c r="U16" s="54"/>
      <c r="V16" s="55"/>
      <c r="W16" s="54" t="s">
        <v>745</v>
      </c>
      <c r="X16" s="55"/>
      <c r="Y16" s="55"/>
    </row>
    <row r="17">
      <c r="A17" s="54" t="s">
        <v>746</v>
      </c>
      <c r="B17" s="55"/>
      <c r="C17" s="55"/>
      <c r="D17" s="54" t="s">
        <v>725</v>
      </c>
      <c r="E17" s="54" t="s">
        <v>506</v>
      </c>
      <c r="F17" s="54" t="s">
        <v>737</v>
      </c>
      <c r="G17" s="54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6">
        <v>229.0</v>
      </c>
      <c r="S17" s="56">
        <v>13.32</v>
      </c>
      <c r="T17" s="54" t="s">
        <v>737</v>
      </c>
      <c r="U17" s="54"/>
      <c r="V17" s="55"/>
      <c r="W17" s="54" t="s">
        <v>746</v>
      </c>
      <c r="X17" s="55"/>
      <c r="Y17" s="55"/>
    </row>
    <row r="18">
      <c r="A18" s="54" t="s">
        <v>747</v>
      </c>
      <c r="B18" s="55"/>
      <c r="C18" s="55"/>
      <c r="D18" s="54" t="s">
        <v>725</v>
      </c>
      <c r="E18" s="54" t="s">
        <v>506</v>
      </c>
      <c r="F18" s="54" t="s">
        <v>737</v>
      </c>
      <c r="G18" s="54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6">
        <v>129.0</v>
      </c>
      <c r="S18" s="56">
        <v>4.75</v>
      </c>
      <c r="T18" s="54" t="s">
        <v>737</v>
      </c>
      <c r="U18" s="54"/>
      <c r="V18" s="55"/>
      <c r="W18" s="54" t="s">
        <v>747</v>
      </c>
      <c r="X18" s="55"/>
      <c r="Y18" s="55"/>
    </row>
    <row r="19">
      <c r="A19" s="54" t="s">
        <v>748</v>
      </c>
      <c r="B19" s="55"/>
      <c r="C19" s="55"/>
      <c r="D19" s="54" t="s">
        <v>725</v>
      </c>
      <c r="E19" s="54" t="s">
        <v>506</v>
      </c>
      <c r="F19" s="54" t="s">
        <v>737</v>
      </c>
      <c r="G19" s="54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6">
        <v>340.0</v>
      </c>
      <c r="S19" s="56">
        <v>25.79</v>
      </c>
      <c r="T19" s="54" t="s">
        <v>737</v>
      </c>
      <c r="U19" s="54"/>
      <c r="V19" s="55"/>
      <c r="W19" s="54" t="s">
        <v>749</v>
      </c>
      <c r="X19" s="55"/>
      <c r="Y19" s="55"/>
    </row>
    <row r="20">
      <c r="A20" s="54" t="s">
        <v>750</v>
      </c>
      <c r="B20" s="55"/>
      <c r="C20" s="55"/>
      <c r="D20" s="54" t="s">
        <v>725</v>
      </c>
      <c r="E20" s="54" t="s">
        <v>506</v>
      </c>
      <c r="F20" s="54" t="s">
        <v>737</v>
      </c>
      <c r="G20" s="54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6">
        <v>56.9</v>
      </c>
      <c r="S20" s="56">
        <v>33.27</v>
      </c>
      <c r="T20" s="54" t="s">
        <v>737</v>
      </c>
      <c r="U20" s="54"/>
      <c r="V20" s="55"/>
      <c r="W20" s="54" t="s">
        <v>751</v>
      </c>
      <c r="X20" s="55"/>
      <c r="Y20" s="55"/>
    </row>
    <row r="21">
      <c r="A21" s="54" t="s">
        <v>752</v>
      </c>
      <c r="B21" s="55"/>
      <c r="C21" s="55"/>
      <c r="D21" s="54" t="s">
        <v>725</v>
      </c>
      <c r="E21" s="54" t="s">
        <v>506</v>
      </c>
      <c r="F21" s="54" t="s">
        <v>737</v>
      </c>
      <c r="G21" s="54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6">
        <v>1150.0</v>
      </c>
      <c r="S21" s="56">
        <v>28.85</v>
      </c>
      <c r="T21" s="54" t="s">
        <v>737</v>
      </c>
      <c r="U21" s="54"/>
      <c r="V21" s="55"/>
      <c r="W21" s="54" t="s">
        <v>753</v>
      </c>
      <c r="X21" s="55"/>
      <c r="Y21" s="55"/>
    </row>
    <row r="22">
      <c r="A22" s="54" t="s">
        <v>754</v>
      </c>
      <c r="B22" s="55"/>
      <c r="C22" s="55"/>
      <c r="D22" s="54" t="s">
        <v>725</v>
      </c>
      <c r="E22" s="54" t="s">
        <v>506</v>
      </c>
      <c r="F22" s="54" t="s">
        <v>737</v>
      </c>
      <c r="G22" s="54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6">
        <v>480.0</v>
      </c>
      <c r="S22" s="56">
        <v>19.5</v>
      </c>
      <c r="T22" s="54" t="s">
        <v>737</v>
      </c>
      <c r="U22" s="54"/>
      <c r="V22" s="55"/>
      <c r="W22" s="54" t="s">
        <v>755</v>
      </c>
      <c r="X22" s="55"/>
      <c r="Y22" s="55"/>
    </row>
    <row r="23">
      <c r="A23" s="54" t="s">
        <v>756</v>
      </c>
      <c r="B23" s="55"/>
      <c r="C23" s="55"/>
      <c r="D23" s="54" t="s">
        <v>725</v>
      </c>
      <c r="E23" s="54" t="s">
        <v>506</v>
      </c>
      <c r="F23" s="54" t="s">
        <v>737</v>
      </c>
      <c r="G23" s="54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6">
        <v>140.0</v>
      </c>
      <c r="S23" s="56">
        <v>14.5</v>
      </c>
      <c r="T23" s="54" t="s">
        <v>737</v>
      </c>
      <c r="U23" s="54"/>
      <c r="V23" s="55"/>
      <c r="W23" s="54" t="s">
        <v>757</v>
      </c>
      <c r="X23" s="55"/>
      <c r="Y23" s="55"/>
    </row>
    <row r="24">
      <c r="A24" s="54" t="s">
        <v>758</v>
      </c>
      <c r="B24" s="55"/>
      <c r="C24" s="55"/>
      <c r="D24" s="54" t="s">
        <v>725</v>
      </c>
      <c r="E24" s="54" t="s">
        <v>506</v>
      </c>
      <c r="F24" s="54" t="s">
        <v>737</v>
      </c>
      <c r="G24" s="54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6">
        <v>30.0</v>
      </c>
      <c r="S24" s="56">
        <v>3.98</v>
      </c>
      <c r="T24" s="54" t="s">
        <v>737</v>
      </c>
      <c r="U24" s="54"/>
      <c r="V24" s="55"/>
      <c r="W24" s="54" t="s">
        <v>759</v>
      </c>
      <c r="X24" s="55"/>
      <c r="Y24" s="55"/>
    </row>
    <row r="25">
      <c r="A25" s="54" t="s">
        <v>760</v>
      </c>
      <c r="B25" s="55"/>
      <c r="C25" s="55"/>
      <c r="D25" s="54" t="s">
        <v>725</v>
      </c>
      <c r="E25" s="54" t="s">
        <v>506</v>
      </c>
      <c r="F25" s="54" t="s">
        <v>737</v>
      </c>
      <c r="G25" s="54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6">
        <v>690.0</v>
      </c>
      <c r="S25" s="56">
        <v>39.92</v>
      </c>
      <c r="T25" s="54" t="s">
        <v>737</v>
      </c>
      <c r="U25" s="54"/>
      <c r="V25" s="55"/>
      <c r="W25" s="54" t="s">
        <v>761</v>
      </c>
      <c r="X25" s="55"/>
      <c r="Y25" s="55"/>
    </row>
    <row r="26">
      <c r="A26" s="54" t="s">
        <v>762</v>
      </c>
      <c r="B26" s="55"/>
      <c r="C26" s="55"/>
      <c r="D26" s="54" t="s">
        <v>725</v>
      </c>
      <c r="E26" s="54" t="s">
        <v>506</v>
      </c>
      <c r="F26" s="54" t="s">
        <v>737</v>
      </c>
      <c r="G26" s="54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6">
        <v>180.0</v>
      </c>
      <c r="S26" s="56">
        <v>16.48</v>
      </c>
      <c r="T26" s="54" t="s">
        <v>737</v>
      </c>
      <c r="U26" s="54"/>
      <c r="V26" s="55"/>
      <c r="W26" s="54" t="s">
        <v>763</v>
      </c>
      <c r="X26" s="55"/>
      <c r="Y26" s="55"/>
    </row>
    <row r="27">
      <c r="A27" s="54" t="s">
        <v>764</v>
      </c>
      <c r="B27" s="55"/>
      <c r="C27" s="55"/>
      <c r="D27" s="54" t="s">
        <v>725</v>
      </c>
      <c r="E27" s="54" t="s">
        <v>506</v>
      </c>
      <c r="F27" s="54" t="s">
        <v>737</v>
      </c>
      <c r="G27" s="54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6">
        <v>270.0</v>
      </c>
      <c r="S27" s="56">
        <v>41.25</v>
      </c>
      <c r="T27" s="54" t="s">
        <v>737</v>
      </c>
      <c r="U27" s="54"/>
      <c r="V27" s="55"/>
      <c r="W27" s="54" t="s">
        <v>765</v>
      </c>
      <c r="X27" s="55"/>
      <c r="Y27" s="55"/>
    </row>
    <row r="28">
      <c r="A28" s="54" t="s">
        <v>766</v>
      </c>
      <c r="B28" s="55"/>
      <c r="C28" s="55"/>
      <c r="D28" s="54" t="s">
        <v>725</v>
      </c>
      <c r="E28" s="54" t="s">
        <v>506</v>
      </c>
      <c r="F28" s="54" t="s">
        <v>737</v>
      </c>
      <c r="G28" s="54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6">
        <v>120.0</v>
      </c>
      <c r="S28" s="56">
        <v>3.33</v>
      </c>
      <c r="T28" s="54" t="s">
        <v>737</v>
      </c>
      <c r="U28" s="54"/>
      <c r="V28" s="55"/>
      <c r="W28" s="54" t="s">
        <v>767</v>
      </c>
      <c r="X28" s="55"/>
      <c r="Y28" s="55"/>
    </row>
    <row r="29">
      <c r="A29" s="54" t="s">
        <v>768</v>
      </c>
      <c r="B29" s="55"/>
      <c r="C29" s="55"/>
      <c r="D29" s="54" t="s">
        <v>725</v>
      </c>
      <c r="E29" s="54" t="s">
        <v>506</v>
      </c>
      <c r="F29" s="54" t="s">
        <v>737</v>
      </c>
      <c r="G29" s="54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6">
        <v>195.0</v>
      </c>
      <c r="S29" s="56">
        <v>6.18</v>
      </c>
      <c r="T29" s="54" t="s">
        <v>737</v>
      </c>
      <c r="U29" s="54"/>
      <c r="V29" s="55"/>
      <c r="W29" s="54" t="s">
        <v>769</v>
      </c>
      <c r="X29" s="55"/>
      <c r="Y29" s="55"/>
    </row>
    <row r="30">
      <c r="A30" s="54" t="s">
        <v>770</v>
      </c>
      <c r="B30" s="55"/>
      <c r="C30" s="55"/>
      <c r="D30" s="54" t="s">
        <v>725</v>
      </c>
      <c r="E30" s="54" t="s">
        <v>506</v>
      </c>
      <c r="F30" s="54" t="s">
        <v>737</v>
      </c>
      <c r="G30" s="54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6">
        <v>140.0</v>
      </c>
      <c r="S30" s="56">
        <v>10.66</v>
      </c>
      <c r="T30" s="54" t="s">
        <v>737</v>
      </c>
      <c r="U30" s="54"/>
      <c r="V30" s="55"/>
      <c r="W30" s="54" t="s">
        <v>771</v>
      </c>
      <c r="X30" s="55"/>
      <c r="Y30" s="55"/>
    </row>
    <row r="31">
      <c r="A31" s="54" t="s">
        <v>772</v>
      </c>
      <c r="B31" s="55"/>
      <c r="C31" s="55"/>
      <c r="D31" s="54" t="s">
        <v>725</v>
      </c>
      <c r="E31" s="54" t="s">
        <v>506</v>
      </c>
      <c r="F31" s="54" t="s">
        <v>737</v>
      </c>
      <c r="G31" s="54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6">
        <v>120.0</v>
      </c>
      <c r="S31" s="56">
        <v>9.5</v>
      </c>
      <c r="T31" s="54" t="s">
        <v>737</v>
      </c>
      <c r="U31" s="54"/>
      <c r="V31" s="55"/>
      <c r="W31" s="54" t="s">
        <v>773</v>
      </c>
      <c r="X31" s="55"/>
      <c r="Y31" s="55"/>
    </row>
    <row r="32">
      <c r="A32" s="54" t="s">
        <v>774</v>
      </c>
      <c r="B32" s="55"/>
      <c r="C32" s="55"/>
      <c r="D32" s="54" t="s">
        <v>725</v>
      </c>
      <c r="E32" s="54" t="s">
        <v>506</v>
      </c>
      <c r="F32" s="54" t="s">
        <v>737</v>
      </c>
      <c r="G32" s="54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6">
        <v>95.0</v>
      </c>
      <c r="S32" s="56">
        <v>8.0</v>
      </c>
      <c r="T32" s="54" t="s">
        <v>737</v>
      </c>
      <c r="U32" s="54"/>
      <c r="V32" s="55"/>
      <c r="W32" s="54" t="s">
        <v>775</v>
      </c>
      <c r="X32" s="55"/>
      <c r="Y32" s="55"/>
    </row>
    <row r="33">
      <c r="A33" s="54" t="s">
        <v>776</v>
      </c>
      <c r="B33" s="55"/>
      <c r="C33" s="55"/>
      <c r="D33" s="54" t="s">
        <v>725</v>
      </c>
      <c r="E33" s="54" t="s">
        <v>506</v>
      </c>
      <c r="F33" s="54" t="s">
        <v>737</v>
      </c>
      <c r="G33" s="54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6">
        <v>550.0</v>
      </c>
      <c r="S33" s="56">
        <v>51.17</v>
      </c>
      <c r="T33" s="54" t="s">
        <v>737</v>
      </c>
      <c r="U33" s="54"/>
      <c r="V33" s="55"/>
      <c r="W33" s="54" t="s">
        <v>777</v>
      </c>
      <c r="X33" s="55"/>
      <c r="Y33" s="55"/>
    </row>
    <row r="34">
      <c r="A34" s="54" t="s">
        <v>778</v>
      </c>
      <c r="B34" s="55"/>
      <c r="C34" s="55"/>
      <c r="D34" s="54" t="s">
        <v>725</v>
      </c>
      <c r="E34" s="54" t="s">
        <v>506</v>
      </c>
      <c r="F34" s="54" t="s">
        <v>737</v>
      </c>
      <c r="G34" s="54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6">
        <v>510.0</v>
      </c>
      <c r="S34" s="56">
        <v>46.43</v>
      </c>
      <c r="T34" s="54" t="s">
        <v>737</v>
      </c>
      <c r="U34" s="54"/>
      <c r="V34" s="55"/>
      <c r="W34" s="54" t="s">
        <v>779</v>
      </c>
      <c r="X34" s="55"/>
      <c r="Y34" s="55"/>
    </row>
    <row r="35">
      <c r="A35" s="54" t="s">
        <v>780</v>
      </c>
      <c r="B35" s="55"/>
      <c r="C35" s="55"/>
      <c r="D35" s="54" t="s">
        <v>725</v>
      </c>
      <c r="E35" s="54" t="s">
        <v>506</v>
      </c>
      <c r="F35" s="54" t="s">
        <v>737</v>
      </c>
      <c r="G35" s="54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6">
        <v>80.0</v>
      </c>
      <c r="S35" s="56">
        <v>4.6</v>
      </c>
      <c r="T35" s="54" t="s">
        <v>737</v>
      </c>
      <c r="U35" s="54"/>
      <c r="V35" s="55"/>
      <c r="W35" s="54" t="s">
        <v>781</v>
      </c>
      <c r="X35" s="55"/>
      <c r="Y35" s="55"/>
    </row>
    <row r="36">
      <c r="A36" s="54" t="s">
        <v>782</v>
      </c>
      <c r="B36" s="55"/>
      <c r="C36" s="55"/>
      <c r="D36" s="54" t="s">
        <v>725</v>
      </c>
      <c r="E36" s="54" t="s">
        <v>506</v>
      </c>
      <c r="F36" s="54" t="s">
        <v>737</v>
      </c>
      <c r="G36" s="54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6">
        <v>480.0</v>
      </c>
      <c r="S36" s="56">
        <v>17.08</v>
      </c>
      <c r="T36" s="54" t="s">
        <v>737</v>
      </c>
      <c r="U36" s="54"/>
      <c r="V36" s="55"/>
      <c r="W36" s="54" t="s">
        <v>783</v>
      </c>
      <c r="X36" s="55"/>
      <c r="Y36" s="55"/>
    </row>
    <row r="37">
      <c r="A37" s="54" t="s">
        <v>784</v>
      </c>
      <c r="B37" s="55"/>
      <c r="C37" s="55"/>
      <c r="D37" s="54" t="s">
        <v>725</v>
      </c>
      <c r="E37" s="54" t="s">
        <v>506</v>
      </c>
      <c r="F37" s="54" t="s">
        <v>737</v>
      </c>
      <c r="G37" s="54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6">
        <v>95.0</v>
      </c>
      <c r="S37" s="56">
        <v>95.0</v>
      </c>
      <c r="T37" s="54" t="s">
        <v>737</v>
      </c>
      <c r="U37" s="54"/>
      <c r="V37" s="55"/>
      <c r="W37" s="54" t="s">
        <v>784</v>
      </c>
      <c r="X37" s="55"/>
      <c r="Y37" s="55"/>
    </row>
    <row r="38">
      <c r="A38" s="54" t="s">
        <v>785</v>
      </c>
      <c r="B38" s="55"/>
      <c r="C38" s="55"/>
      <c r="D38" s="54" t="s">
        <v>725</v>
      </c>
      <c r="E38" s="54" t="s">
        <v>506</v>
      </c>
      <c r="F38" s="54" t="s">
        <v>737</v>
      </c>
      <c r="G38" s="54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6">
        <v>140.0</v>
      </c>
      <c r="S38" s="56">
        <v>6.05</v>
      </c>
      <c r="T38" s="54" t="s">
        <v>737</v>
      </c>
      <c r="U38" s="54"/>
      <c r="V38" s="55"/>
      <c r="W38" s="54" t="s">
        <v>785</v>
      </c>
      <c r="X38" s="55"/>
      <c r="Y38" s="5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63"/>
    <col customWidth="1" min="2" max="2" width="27.5"/>
    <col customWidth="1" min="3" max="3" width="24.5"/>
    <col customWidth="1" min="4" max="4" width="31.63"/>
    <col customWidth="1" min="5" max="5" width="31.5"/>
  </cols>
  <sheetData>
    <row r="1" ht="22.5" customHeight="1">
      <c r="A1" s="57" t="s">
        <v>786</v>
      </c>
      <c r="B1" s="58" t="s">
        <v>787</v>
      </c>
      <c r="C1" s="58" t="s">
        <v>788</v>
      </c>
      <c r="D1" s="57" t="s">
        <v>789</v>
      </c>
      <c r="E1" s="58" t="s">
        <v>790</v>
      </c>
    </row>
    <row r="2" ht="22.5" customHeight="1">
      <c r="A2" s="59" t="s">
        <v>791</v>
      </c>
      <c r="B2" s="60"/>
      <c r="C2" s="61"/>
      <c r="D2" s="62"/>
      <c r="E2" s="63">
        <v>11.24</v>
      </c>
    </row>
    <row r="3" ht="22.5" customHeight="1">
      <c r="A3" s="64" t="s">
        <v>38</v>
      </c>
      <c r="B3" s="65" t="s">
        <v>39</v>
      </c>
      <c r="C3" s="66">
        <v>2.0</v>
      </c>
      <c r="D3" s="67">
        <v>3.6</v>
      </c>
      <c r="E3" s="63">
        <v>7.2</v>
      </c>
    </row>
    <row r="4" ht="22.5" customHeight="1">
      <c r="A4" s="64" t="s">
        <v>153</v>
      </c>
      <c r="B4" s="65" t="s">
        <v>154</v>
      </c>
      <c r="C4" s="66">
        <v>8.0</v>
      </c>
      <c r="D4" s="67">
        <v>0.32</v>
      </c>
      <c r="E4" s="63">
        <v>2.56</v>
      </c>
    </row>
    <row r="5" ht="22.5" customHeight="1">
      <c r="A5" s="59" t="s">
        <v>792</v>
      </c>
      <c r="B5" s="65" t="s">
        <v>41</v>
      </c>
      <c r="C5" s="66">
        <v>2.0</v>
      </c>
      <c r="D5" s="67">
        <v>0.74</v>
      </c>
      <c r="E5" s="63">
        <v>1.48</v>
      </c>
    </row>
    <row r="6" ht="22.5" customHeight="1">
      <c r="A6" s="59" t="s">
        <v>793</v>
      </c>
      <c r="B6" s="60"/>
      <c r="C6" s="61"/>
      <c r="D6" s="62"/>
      <c r="E6" s="63">
        <v>6.92</v>
      </c>
    </row>
    <row r="7" ht="22.5" customHeight="1">
      <c r="A7" s="59" t="s">
        <v>794</v>
      </c>
      <c r="B7" s="6" t="s">
        <v>49</v>
      </c>
      <c r="C7" s="66">
        <v>2.0</v>
      </c>
      <c r="D7" s="67">
        <v>1.69</v>
      </c>
      <c r="E7" s="63">
        <v>3.38</v>
      </c>
    </row>
    <row r="8" ht="22.5" customHeight="1">
      <c r="A8" s="59" t="s">
        <v>795</v>
      </c>
      <c r="B8" s="65" t="s">
        <v>154</v>
      </c>
      <c r="C8" s="66">
        <v>8.0</v>
      </c>
      <c r="D8" s="67">
        <v>0.32</v>
      </c>
      <c r="E8" s="63">
        <v>2.56</v>
      </c>
    </row>
    <row r="9" ht="22.5" customHeight="1">
      <c r="A9" s="59" t="s">
        <v>796</v>
      </c>
      <c r="B9" s="6" t="s">
        <v>51</v>
      </c>
      <c r="C9" s="66">
        <v>2.0</v>
      </c>
      <c r="D9" s="67">
        <v>0.49</v>
      </c>
      <c r="E9" s="63">
        <v>0.98</v>
      </c>
    </row>
    <row r="10" ht="22.5" customHeight="1">
      <c r="A10" s="59" t="s">
        <v>797</v>
      </c>
      <c r="B10" s="60"/>
      <c r="C10" s="61"/>
      <c r="D10" s="62"/>
      <c r="E10" s="63">
        <v>32.68</v>
      </c>
    </row>
    <row r="11" ht="22.5" customHeight="1">
      <c r="A11" s="59" t="s">
        <v>798</v>
      </c>
      <c r="B11" s="65" t="s">
        <v>29</v>
      </c>
      <c r="C11" s="66">
        <v>2.0</v>
      </c>
      <c r="D11" s="67">
        <v>13.19</v>
      </c>
      <c r="E11" s="63">
        <v>26.38</v>
      </c>
    </row>
    <row r="12" ht="22.5" customHeight="1">
      <c r="A12" s="59" t="s">
        <v>799</v>
      </c>
      <c r="B12" s="65" t="s">
        <v>154</v>
      </c>
      <c r="C12" s="66">
        <v>8.0</v>
      </c>
      <c r="D12" s="67">
        <v>0.32</v>
      </c>
      <c r="E12" s="63">
        <v>2.56</v>
      </c>
    </row>
    <row r="13" ht="22.5" customHeight="1">
      <c r="A13" s="59" t="s">
        <v>800</v>
      </c>
      <c r="B13" s="65" t="s">
        <v>31</v>
      </c>
      <c r="C13" s="66">
        <v>2.0</v>
      </c>
      <c r="D13" s="67">
        <v>1.87</v>
      </c>
      <c r="E13" s="63">
        <v>3.74</v>
      </c>
    </row>
    <row r="14" ht="22.5" customHeight="1">
      <c r="A14" s="59" t="s">
        <v>801</v>
      </c>
      <c r="B14" s="60"/>
      <c r="C14" s="61"/>
      <c r="D14" s="62"/>
      <c r="E14" s="63">
        <v>48.17</v>
      </c>
    </row>
    <row r="15" ht="22.5" customHeight="1">
      <c r="A15" s="59" t="s">
        <v>802</v>
      </c>
      <c r="B15" s="65" t="s">
        <v>463</v>
      </c>
      <c r="C15" s="66">
        <v>14.0</v>
      </c>
      <c r="D15" s="67">
        <v>2.61</v>
      </c>
      <c r="E15" s="63">
        <v>36.54</v>
      </c>
    </row>
    <row r="16" ht="22.5" customHeight="1">
      <c r="A16" s="59" t="s">
        <v>803</v>
      </c>
      <c r="B16" s="6" t="s">
        <v>473</v>
      </c>
      <c r="C16" s="66">
        <v>2.0</v>
      </c>
      <c r="D16" s="67">
        <v>1.0</v>
      </c>
      <c r="E16" s="63">
        <v>2.0</v>
      </c>
    </row>
    <row r="17" ht="22.5" customHeight="1">
      <c r="A17" s="59" t="s">
        <v>804</v>
      </c>
      <c r="B17" s="6" t="s">
        <v>444</v>
      </c>
      <c r="C17" s="66">
        <v>1.0</v>
      </c>
      <c r="D17" s="67">
        <v>9.63</v>
      </c>
      <c r="E17" s="63">
        <v>9.63</v>
      </c>
    </row>
    <row r="18" ht="22.5" customHeight="1">
      <c r="A18" s="59" t="s">
        <v>805</v>
      </c>
      <c r="B18" s="60"/>
      <c r="C18" s="61"/>
      <c r="D18" s="62"/>
      <c r="E18" s="63">
        <v>64.95</v>
      </c>
    </row>
    <row r="19" ht="22.5" customHeight="1">
      <c r="A19" s="59" t="s">
        <v>802</v>
      </c>
      <c r="B19" s="65" t="s">
        <v>463</v>
      </c>
      <c r="C19" s="66">
        <v>20.0</v>
      </c>
      <c r="D19" s="67">
        <v>2.61</v>
      </c>
      <c r="E19" s="63">
        <v>52.2</v>
      </c>
    </row>
    <row r="20" ht="22.5" customHeight="1">
      <c r="A20" s="59" t="s">
        <v>806</v>
      </c>
      <c r="B20" s="65" t="s">
        <v>467</v>
      </c>
      <c r="C20" s="66">
        <v>2.0</v>
      </c>
      <c r="D20" s="67">
        <v>1.56</v>
      </c>
      <c r="E20" s="63">
        <v>3.12</v>
      </c>
    </row>
    <row r="21" ht="22.5" customHeight="1">
      <c r="A21" s="59" t="s">
        <v>804</v>
      </c>
      <c r="B21" s="6" t="s">
        <v>444</v>
      </c>
      <c r="C21" s="66">
        <v>1.0</v>
      </c>
      <c r="D21" s="67">
        <v>9.63</v>
      </c>
      <c r="E21" s="63">
        <v>9.63</v>
      </c>
    </row>
    <row r="22" ht="22.5" customHeight="1">
      <c r="A22" s="59" t="s">
        <v>807</v>
      </c>
      <c r="B22" s="60"/>
      <c r="C22" s="61"/>
      <c r="D22" s="62"/>
      <c r="E22" s="63">
        <v>81.17</v>
      </c>
    </row>
    <row r="23" ht="22.5" customHeight="1">
      <c r="A23" s="59" t="s">
        <v>802</v>
      </c>
      <c r="B23" s="65" t="s">
        <v>463</v>
      </c>
      <c r="C23" s="66">
        <v>26.0</v>
      </c>
      <c r="D23" s="67">
        <v>2.61</v>
      </c>
      <c r="E23" s="63">
        <v>67.86</v>
      </c>
    </row>
    <row r="24" ht="22.5" customHeight="1">
      <c r="A24" s="59" t="s">
        <v>808</v>
      </c>
      <c r="B24" s="6" t="s">
        <v>470</v>
      </c>
      <c r="C24" s="66">
        <v>2.0</v>
      </c>
      <c r="D24" s="67">
        <v>1.84</v>
      </c>
      <c r="E24" s="63">
        <v>3.68</v>
      </c>
    </row>
    <row r="25" ht="22.5" customHeight="1">
      <c r="A25" s="59" t="s">
        <v>809</v>
      </c>
      <c r="B25" s="6" t="s">
        <v>444</v>
      </c>
      <c r="C25" s="66">
        <v>1.0</v>
      </c>
      <c r="D25" s="67">
        <v>9.63</v>
      </c>
      <c r="E25" s="63">
        <v>9.63</v>
      </c>
    </row>
  </sheetData>
  <dataValidations>
    <dataValidation type="list" allowBlank="1" sqref="C2:C25">
      <formula1>"2,8,2,2,8,2,2,8,2,14,2,1,20,2,1,26,2,1"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61.25" customHeight="1">
      <c r="A1" s="68" t="s">
        <v>810</v>
      </c>
      <c r="B1" s="2"/>
      <c r="C1" s="69" t="s">
        <v>811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2.5" customHeight="1">
      <c r="A2" s="70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>
      <c r="A3" s="71" t="s">
        <v>50</v>
      </c>
      <c r="B3" s="72" t="s">
        <v>51</v>
      </c>
      <c r="C3" s="72" t="s">
        <v>27</v>
      </c>
      <c r="D3" s="55"/>
      <c r="E3" s="72" t="s">
        <v>50</v>
      </c>
      <c r="F3" s="55"/>
      <c r="G3" s="72" t="s">
        <v>23</v>
      </c>
      <c r="H3" s="56">
        <v>0.0</v>
      </c>
      <c r="I3" s="73">
        <v>0.49</v>
      </c>
      <c r="J3" s="56">
        <v>0.49</v>
      </c>
      <c r="K3" s="72" t="s">
        <v>24</v>
      </c>
      <c r="L3" s="55"/>
      <c r="M3" s="55"/>
      <c r="N3" s="55"/>
      <c r="O3" s="74">
        <v>45989.0</v>
      </c>
    </row>
    <row r="4">
      <c r="A4" s="71" t="s">
        <v>85</v>
      </c>
      <c r="B4" s="72" t="s">
        <v>86</v>
      </c>
      <c r="C4" s="72" t="s">
        <v>27</v>
      </c>
      <c r="D4" s="55"/>
      <c r="E4" s="72" t="s">
        <v>85</v>
      </c>
      <c r="F4" s="55"/>
      <c r="G4" s="72" t="s">
        <v>19</v>
      </c>
      <c r="H4" s="56">
        <v>0.0</v>
      </c>
      <c r="I4" s="73">
        <v>22.0</v>
      </c>
      <c r="J4" s="56">
        <v>22.0</v>
      </c>
      <c r="K4" s="72" t="s">
        <v>24</v>
      </c>
      <c r="L4" s="55"/>
      <c r="M4" s="55"/>
      <c r="N4" s="55"/>
      <c r="O4" s="74">
        <v>45988.0</v>
      </c>
    </row>
    <row r="5">
      <c r="A5" s="71" t="s">
        <v>87</v>
      </c>
      <c r="B5" s="72" t="s">
        <v>88</v>
      </c>
      <c r="C5" s="72" t="s">
        <v>27</v>
      </c>
      <c r="D5" s="55"/>
      <c r="E5" s="72" t="s">
        <v>87</v>
      </c>
      <c r="F5" s="55"/>
      <c r="G5" s="72" t="s">
        <v>19</v>
      </c>
      <c r="H5" s="56">
        <v>0.0</v>
      </c>
      <c r="I5" s="73">
        <v>15.0</v>
      </c>
      <c r="J5" s="56">
        <v>15.0</v>
      </c>
      <c r="K5" s="72" t="s">
        <v>24</v>
      </c>
      <c r="L5" s="55"/>
      <c r="M5" s="55"/>
      <c r="N5" s="55"/>
      <c r="O5" s="74">
        <v>45988.0</v>
      </c>
    </row>
    <row r="6">
      <c r="A6" s="71" t="s">
        <v>89</v>
      </c>
      <c r="B6" s="72" t="s">
        <v>90</v>
      </c>
      <c r="C6" s="72" t="s">
        <v>27</v>
      </c>
      <c r="D6" s="55"/>
      <c r="E6" s="72" t="s">
        <v>89</v>
      </c>
      <c r="F6" s="55"/>
      <c r="G6" s="72" t="s">
        <v>19</v>
      </c>
      <c r="H6" s="56">
        <v>0.0</v>
      </c>
      <c r="I6" s="73">
        <v>6.0</v>
      </c>
      <c r="J6" s="56">
        <v>6.0</v>
      </c>
      <c r="K6" s="72" t="s">
        <v>24</v>
      </c>
      <c r="L6" s="55"/>
      <c r="M6" s="55"/>
      <c r="N6" s="55"/>
      <c r="O6" s="74">
        <v>45988.0</v>
      </c>
    </row>
    <row r="7">
      <c r="A7" s="71" t="s">
        <v>812</v>
      </c>
      <c r="B7" s="72" t="s">
        <v>92</v>
      </c>
      <c r="C7" s="72" t="s">
        <v>27</v>
      </c>
      <c r="D7" s="55"/>
      <c r="E7" s="72" t="s">
        <v>812</v>
      </c>
      <c r="F7" s="55"/>
      <c r="G7" s="72" t="s">
        <v>19</v>
      </c>
      <c r="H7" s="56">
        <v>0.0</v>
      </c>
      <c r="I7" s="73">
        <v>0.0</v>
      </c>
      <c r="J7" s="75"/>
      <c r="K7" s="75"/>
      <c r="L7" s="55"/>
      <c r="M7" s="55"/>
      <c r="N7" s="55"/>
      <c r="O7" s="74">
        <v>45988.0</v>
      </c>
    </row>
    <row r="8">
      <c r="A8" s="71" t="s">
        <v>126</v>
      </c>
      <c r="B8" s="72" t="s">
        <v>127</v>
      </c>
      <c r="C8" s="72" t="s">
        <v>27</v>
      </c>
      <c r="D8" s="55"/>
      <c r="E8" s="72" t="s">
        <v>126</v>
      </c>
      <c r="F8" s="55"/>
      <c r="G8" s="72" t="s">
        <v>19</v>
      </c>
      <c r="H8" s="56">
        <v>0.0</v>
      </c>
      <c r="I8" s="73">
        <v>1.4</v>
      </c>
      <c r="J8" s="75"/>
      <c r="K8" s="75"/>
      <c r="L8" s="55"/>
      <c r="M8" s="55"/>
      <c r="N8" s="55"/>
      <c r="O8" s="74">
        <v>45988.0</v>
      </c>
    </row>
    <row r="9">
      <c r="A9" s="71" t="s">
        <v>813</v>
      </c>
      <c r="B9" s="72" t="s">
        <v>129</v>
      </c>
      <c r="C9" s="72" t="s">
        <v>27</v>
      </c>
      <c r="D9" s="55"/>
      <c r="E9" s="75"/>
      <c r="F9" s="55"/>
      <c r="G9" s="72" t="s">
        <v>93</v>
      </c>
      <c r="H9" s="56">
        <v>0.0</v>
      </c>
      <c r="I9" s="73">
        <v>1.0</v>
      </c>
      <c r="J9" s="55"/>
      <c r="K9" s="55"/>
      <c r="L9" s="55"/>
      <c r="M9" s="55"/>
      <c r="N9" s="55"/>
      <c r="O9" s="74">
        <v>45958.0</v>
      </c>
    </row>
    <row r="10">
      <c r="A10" s="71" t="s">
        <v>130</v>
      </c>
      <c r="B10" s="72" t="s">
        <v>131</v>
      </c>
      <c r="C10" s="72" t="s">
        <v>27</v>
      </c>
      <c r="D10" s="55"/>
      <c r="E10" s="72" t="s">
        <v>130</v>
      </c>
      <c r="F10" s="55"/>
      <c r="G10" s="72" t="s">
        <v>23</v>
      </c>
      <c r="H10" s="56">
        <v>0.0</v>
      </c>
      <c r="I10" s="73">
        <v>2.58</v>
      </c>
      <c r="J10" s="56">
        <v>2.58</v>
      </c>
      <c r="K10" s="72" t="s">
        <v>24</v>
      </c>
      <c r="L10" s="55"/>
      <c r="M10" s="55"/>
      <c r="N10" s="55"/>
      <c r="O10" s="74">
        <v>45988.0</v>
      </c>
    </row>
    <row r="11">
      <c r="A11" s="71" t="s">
        <v>135</v>
      </c>
      <c r="B11" s="72" t="s">
        <v>136</v>
      </c>
      <c r="C11" s="72" t="s">
        <v>27</v>
      </c>
      <c r="D11" s="55"/>
      <c r="E11" s="72" t="s">
        <v>135</v>
      </c>
      <c r="F11" s="55"/>
      <c r="G11" s="72" t="s">
        <v>19</v>
      </c>
      <c r="H11" s="56">
        <v>0.0</v>
      </c>
      <c r="I11" s="73">
        <v>9.95</v>
      </c>
      <c r="J11" s="56">
        <v>9.95</v>
      </c>
      <c r="K11" s="72" t="s">
        <v>24</v>
      </c>
      <c r="L11" s="55"/>
      <c r="M11" s="55"/>
      <c r="N11" s="55"/>
      <c r="O11" s="74">
        <v>45989.0</v>
      </c>
    </row>
    <row r="12">
      <c r="A12" s="71" t="s">
        <v>137</v>
      </c>
      <c r="B12" s="72" t="s">
        <v>138</v>
      </c>
      <c r="C12" s="72" t="s">
        <v>27</v>
      </c>
      <c r="D12" s="55"/>
      <c r="E12" s="72" t="s">
        <v>137</v>
      </c>
      <c r="F12" s="55"/>
      <c r="G12" s="72" t="s">
        <v>134</v>
      </c>
      <c r="H12" s="56">
        <v>0.0</v>
      </c>
      <c r="I12" s="73">
        <v>59.0</v>
      </c>
      <c r="J12" s="56">
        <v>59.0</v>
      </c>
      <c r="K12" s="72" t="s">
        <v>24</v>
      </c>
      <c r="L12" s="55"/>
      <c r="M12" s="55"/>
      <c r="N12" s="55"/>
      <c r="O12" s="74">
        <v>45989.0</v>
      </c>
    </row>
    <row r="13">
      <c r="A13" s="71" t="s">
        <v>814</v>
      </c>
      <c r="B13" s="72" t="s">
        <v>182</v>
      </c>
      <c r="C13" s="72" t="s">
        <v>27</v>
      </c>
      <c r="D13" s="55"/>
      <c r="E13" s="72" t="s">
        <v>814</v>
      </c>
      <c r="F13" s="55"/>
      <c r="G13" s="72" t="s">
        <v>19</v>
      </c>
      <c r="H13" s="56">
        <v>0.0</v>
      </c>
      <c r="I13" s="73">
        <v>15.0</v>
      </c>
      <c r="J13" s="56">
        <v>15.0</v>
      </c>
      <c r="K13" s="72" t="s">
        <v>24</v>
      </c>
      <c r="L13" s="55"/>
      <c r="M13" s="55"/>
      <c r="N13" s="55"/>
      <c r="O13" s="74">
        <v>45988.0</v>
      </c>
    </row>
    <row r="14">
      <c r="A14" s="71" t="s">
        <v>815</v>
      </c>
      <c r="B14" s="72" t="s">
        <v>184</v>
      </c>
      <c r="C14" s="72" t="s">
        <v>27</v>
      </c>
      <c r="D14" s="55"/>
      <c r="E14" s="72" t="s">
        <v>815</v>
      </c>
      <c r="F14" s="55"/>
      <c r="G14" s="72" t="s">
        <v>19</v>
      </c>
      <c r="H14" s="56">
        <v>0.0</v>
      </c>
      <c r="I14" s="73">
        <v>10.0</v>
      </c>
      <c r="J14" s="56">
        <v>10.0</v>
      </c>
      <c r="K14" s="72" t="s">
        <v>24</v>
      </c>
      <c r="L14" s="55"/>
      <c r="M14" s="55"/>
      <c r="N14" s="55"/>
      <c r="O14" s="74">
        <v>45988.0</v>
      </c>
    </row>
    <row r="15">
      <c r="A15" s="71" t="s">
        <v>187</v>
      </c>
      <c r="B15" s="72" t="s">
        <v>186</v>
      </c>
      <c r="C15" s="72" t="s">
        <v>27</v>
      </c>
      <c r="D15" s="55"/>
      <c r="E15" s="72" t="s">
        <v>187</v>
      </c>
      <c r="F15" s="55"/>
      <c r="G15" s="72" t="s">
        <v>19</v>
      </c>
      <c r="H15" s="56">
        <v>0.0</v>
      </c>
      <c r="I15" s="73">
        <v>250.0</v>
      </c>
      <c r="J15" s="56">
        <v>250.0</v>
      </c>
      <c r="K15" s="72" t="s">
        <v>24</v>
      </c>
      <c r="L15" s="55"/>
      <c r="M15" s="55"/>
      <c r="N15" s="55"/>
      <c r="O15" s="74">
        <v>45988.0</v>
      </c>
    </row>
    <row r="16">
      <c r="A16" s="71" t="s">
        <v>190</v>
      </c>
      <c r="B16" s="72" t="s">
        <v>189</v>
      </c>
      <c r="C16" s="72" t="s">
        <v>27</v>
      </c>
      <c r="D16" s="55"/>
      <c r="E16" s="72" t="s">
        <v>190</v>
      </c>
      <c r="F16" s="55"/>
      <c r="G16" s="72" t="s">
        <v>19</v>
      </c>
      <c r="H16" s="56">
        <v>0.0</v>
      </c>
      <c r="I16" s="73">
        <v>85.0</v>
      </c>
      <c r="J16" s="56">
        <v>85.0</v>
      </c>
      <c r="K16" s="72" t="s">
        <v>24</v>
      </c>
      <c r="L16" s="55"/>
      <c r="M16" s="55"/>
      <c r="N16" s="55"/>
      <c r="O16" s="76">
        <v>45988.0</v>
      </c>
    </row>
    <row r="17">
      <c r="A17" s="71" t="s">
        <v>203</v>
      </c>
      <c r="B17" s="72" t="s">
        <v>204</v>
      </c>
      <c r="C17" s="72" t="s">
        <v>27</v>
      </c>
      <c r="D17" s="55"/>
      <c r="E17" s="72" t="s">
        <v>203</v>
      </c>
      <c r="F17" s="55"/>
      <c r="G17" s="72" t="s">
        <v>19</v>
      </c>
      <c r="H17" s="56">
        <v>0.0</v>
      </c>
      <c r="I17" s="73">
        <v>50.0</v>
      </c>
      <c r="J17" s="55"/>
      <c r="K17" s="55"/>
      <c r="L17" s="55"/>
      <c r="M17" s="55"/>
      <c r="N17" s="55"/>
      <c r="O17" s="74">
        <v>45989.0</v>
      </c>
    </row>
    <row r="18">
      <c r="A18" s="71" t="s">
        <v>816</v>
      </c>
      <c r="B18" s="72" t="s">
        <v>209</v>
      </c>
      <c r="C18" s="72" t="s">
        <v>27</v>
      </c>
      <c r="D18" s="55"/>
      <c r="E18" s="72" t="s">
        <v>816</v>
      </c>
      <c r="F18" s="55"/>
      <c r="G18" s="72" t="s">
        <v>19</v>
      </c>
      <c r="H18" s="56">
        <v>0.0</v>
      </c>
      <c r="I18" s="73">
        <v>55.0</v>
      </c>
      <c r="J18" s="56">
        <v>55.0</v>
      </c>
      <c r="K18" s="72" t="s">
        <v>24</v>
      </c>
      <c r="L18" s="55"/>
      <c r="M18" s="55"/>
      <c r="N18" s="55"/>
      <c r="O18" s="76">
        <v>45988.0</v>
      </c>
    </row>
    <row r="19">
      <c r="A19" s="71" t="s">
        <v>211</v>
      </c>
      <c r="B19" s="72" t="s">
        <v>212</v>
      </c>
      <c r="C19" s="72" t="s">
        <v>27</v>
      </c>
      <c r="D19" s="55"/>
      <c r="E19" s="72" t="s">
        <v>211</v>
      </c>
      <c r="F19" s="55"/>
      <c r="G19" s="72" t="s">
        <v>23</v>
      </c>
      <c r="H19" s="56">
        <v>0.0</v>
      </c>
      <c r="I19" s="73">
        <v>7.5</v>
      </c>
      <c r="J19" s="75"/>
      <c r="K19" s="75"/>
      <c r="L19" s="77">
        <v>0.31</v>
      </c>
      <c r="M19" s="55"/>
      <c r="N19" s="55"/>
      <c r="O19" s="76">
        <v>45989.0</v>
      </c>
    </row>
    <row r="20">
      <c r="A20" s="71" t="s">
        <v>216</v>
      </c>
      <c r="B20" s="72" t="s">
        <v>217</v>
      </c>
      <c r="C20" s="72" t="s">
        <v>27</v>
      </c>
      <c r="D20" s="55"/>
      <c r="E20" s="72" t="s">
        <v>216</v>
      </c>
      <c r="F20" s="55"/>
      <c r="G20" s="72" t="s">
        <v>19</v>
      </c>
      <c r="H20" s="56">
        <v>0.0</v>
      </c>
      <c r="I20" s="73">
        <v>55.0</v>
      </c>
      <c r="J20" s="56">
        <v>55.0</v>
      </c>
      <c r="K20" s="72" t="s">
        <v>24</v>
      </c>
      <c r="L20" s="55"/>
      <c r="M20" s="55"/>
      <c r="N20" s="55"/>
      <c r="O20" s="74">
        <v>45989.0</v>
      </c>
    </row>
    <row r="21">
      <c r="A21" s="71" t="s">
        <v>222</v>
      </c>
      <c r="B21" s="72" t="s">
        <v>223</v>
      </c>
      <c r="C21" s="72" t="s">
        <v>27</v>
      </c>
      <c r="D21" s="55"/>
      <c r="E21" s="72" t="s">
        <v>222</v>
      </c>
      <c r="F21" s="55"/>
      <c r="G21" s="72" t="s">
        <v>116</v>
      </c>
      <c r="H21" s="56">
        <v>0.0</v>
      </c>
      <c r="I21" s="73">
        <v>0.33</v>
      </c>
      <c r="J21" s="55"/>
      <c r="K21" s="55"/>
      <c r="L21" s="55"/>
      <c r="M21" s="55"/>
      <c r="N21" s="55"/>
      <c r="O21" s="74">
        <v>45989.0</v>
      </c>
    </row>
    <row r="22">
      <c r="A22" s="71" t="s">
        <v>224</v>
      </c>
      <c r="B22" s="72" t="s">
        <v>225</v>
      </c>
      <c r="C22" s="72" t="s">
        <v>27</v>
      </c>
      <c r="D22" s="55"/>
      <c r="E22" s="72" t="s">
        <v>224</v>
      </c>
      <c r="F22" s="55"/>
      <c r="G22" s="72" t="s">
        <v>19</v>
      </c>
      <c r="H22" s="56">
        <v>0.0</v>
      </c>
      <c r="I22" s="73">
        <v>55.0</v>
      </c>
      <c r="J22" s="56">
        <v>55.0</v>
      </c>
      <c r="K22" s="72" t="s">
        <v>24</v>
      </c>
      <c r="L22" s="55"/>
      <c r="M22" s="55"/>
      <c r="N22" s="55"/>
      <c r="O22" s="74">
        <v>45989.0</v>
      </c>
    </row>
    <row r="23">
      <c r="A23" s="71" t="s">
        <v>226</v>
      </c>
      <c r="B23" s="72" t="s">
        <v>227</v>
      </c>
      <c r="C23" s="72" t="s">
        <v>27</v>
      </c>
      <c r="D23" s="55"/>
      <c r="E23" s="72" t="s">
        <v>226</v>
      </c>
      <c r="F23" s="55"/>
      <c r="G23" s="72" t="s">
        <v>19</v>
      </c>
      <c r="H23" s="56">
        <v>0.0</v>
      </c>
      <c r="I23" s="73">
        <v>7.0</v>
      </c>
      <c r="J23" s="56">
        <v>7.0</v>
      </c>
      <c r="K23" s="72" t="s">
        <v>24</v>
      </c>
      <c r="L23" s="55"/>
      <c r="M23" s="55"/>
      <c r="N23" s="55"/>
      <c r="O23" s="74">
        <v>45988.0</v>
      </c>
    </row>
    <row r="24">
      <c r="A24" s="71" t="s">
        <v>228</v>
      </c>
      <c r="B24" s="72" t="s">
        <v>229</v>
      </c>
      <c r="C24" s="72" t="s">
        <v>27</v>
      </c>
      <c r="D24" s="55"/>
      <c r="E24" s="72" t="s">
        <v>228</v>
      </c>
      <c r="F24" s="55"/>
      <c r="G24" s="72" t="s">
        <v>19</v>
      </c>
      <c r="H24" s="56">
        <v>0.0</v>
      </c>
      <c r="I24" s="73">
        <v>1.75</v>
      </c>
      <c r="J24" s="56">
        <v>1.75</v>
      </c>
      <c r="K24" s="72" t="s">
        <v>24</v>
      </c>
      <c r="L24" s="55"/>
      <c r="M24" s="55"/>
      <c r="N24" s="55"/>
      <c r="O24" s="74">
        <v>45988.0</v>
      </c>
    </row>
    <row r="25">
      <c r="A25" s="71" t="s">
        <v>255</v>
      </c>
      <c r="B25" s="72" t="s">
        <v>256</v>
      </c>
      <c r="C25" s="72" t="s">
        <v>27</v>
      </c>
      <c r="D25" s="55"/>
      <c r="E25" s="72" t="s">
        <v>255</v>
      </c>
      <c r="F25" s="55"/>
      <c r="G25" s="72" t="s">
        <v>19</v>
      </c>
      <c r="H25" s="56">
        <v>0.0</v>
      </c>
      <c r="I25" s="73">
        <v>19.95</v>
      </c>
      <c r="J25" s="56">
        <v>19.95</v>
      </c>
      <c r="K25" s="72" t="s">
        <v>24</v>
      </c>
      <c r="L25" s="55"/>
      <c r="M25" s="55"/>
      <c r="N25" s="55"/>
      <c r="O25" s="74">
        <v>45988.0</v>
      </c>
    </row>
    <row r="26">
      <c r="A26" s="71" t="s">
        <v>614</v>
      </c>
      <c r="B26" s="72" t="s">
        <v>260</v>
      </c>
      <c r="C26" s="72" t="s">
        <v>27</v>
      </c>
      <c r="D26" s="55"/>
      <c r="E26" s="72" t="s">
        <v>614</v>
      </c>
      <c r="F26" s="55"/>
      <c r="G26" s="72" t="s">
        <v>19</v>
      </c>
      <c r="H26" s="56">
        <v>0.0</v>
      </c>
      <c r="I26" s="73">
        <v>150.0</v>
      </c>
      <c r="J26" s="56">
        <v>150.0</v>
      </c>
      <c r="K26" s="72" t="s">
        <v>24</v>
      </c>
      <c r="L26" s="55"/>
      <c r="M26" s="55"/>
      <c r="N26" s="55"/>
      <c r="O26" s="74">
        <v>45988.0</v>
      </c>
    </row>
    <row r="27">
      <c r="A27" s="71" t="s">
        <v>261</v>
      </c>
      <c r="B27" s="72" t="s">
        <v>262</v>
      </c>
      <c r="C27" s="72" t="s">
        <v>27</v>
      </c>
      <c r="D27" s="55"/>
      <c r="E27" s="72" t="s">
        <v>261</v>
      </c>
      <c r="F27" s="55"/>
      <c r="G27" s="72" t="s">
        <v>19</v>
      </c>
      <c r="H27" s="56">
        <v>0.0</v>
      </c>
      <c r="I27" s="73">
        <v>2.5</v>
      </c>
      <c r="J27" s="56">
        <v>2.5</v>
      </c>
      <c r="K27" s="72" t="s">
        <v>24</v>
      </c>
      <c r="L27" s="55"/>
      <c r="M27" s="55"/>
      <c r="N27" s="55"/>
      <c r="O27" s="74">
        <v>45989.0</v>
      </c>
    </row>
    <row r="28">
      <c r="A28" s="71" t="s">
        <v>284</v>
      </c>
      <c r="B28" s="72" t="s">
        <v>285</v>
      </c>
      <c r="C28" s="72" t="s">
        <v>27</v>
      </c>
      <c r="D28" s="55"/>
      <c r="E28" s="72" t="s">
        <v>284</v>
      </c>
      <c r="F28" s="55"/>
      <c r="G28" s="72" t="s">
        <v>19</v>
      </c>
      <c r="H28" s="56">
        <v>0.0</v>
      </c>
      <c r="I28" s="73">
        <v>8.66</v>
      </c>
      <c r="J28" s="75"/>
      <c r="K28" s="55"/>
      <c r="L28" s="55"/>
      <c r="M28" s="55"/>
      <c r="N28" s="55"/>
      <c r="O28" s="76">
        <v>45989.0</v>
      </c>
    </row>
    <row r="29">
      <c r="A29" s="71" t="s">
        <v>286</v>
      </c>
      <c r="B29" s="72" t="s">
        <v>287</v>
      </c>
      <c r="C29" s="72" t="s">
        <v>27</v>
      </c>
      <c r="D29" s="55"/>
      <c r="E29" s="72" t="s">
        <v>286</v>
      </c>
      <c r="F29" s="55"/>
      <c r="G29" s="72" t="s">
        <v>134</v>
      </c>
      <c r="H29" s="56">
        <v>0.0</v>
      </c>
      <c r="I29" s="73">
        <v>65.0</v>
      </c>
      <c r="J29" s="56">
        <v>65.0</v>
      </c>
      <c r="K29" s="72" t="s">
        <v>24</v>
      </c>
      <c r="L29" s="55"/>
      <c r="M29" s="55"/>
      <c r="N29" s="55"/>
      <c r="O29" s="76">
        <v>45989.0</v>
      </c>
    </row>
    <row r="30">
      <c r="A30" s="71" t="s">
        <v>288</v>
      </c>
      <c r="B30" s="72" t="s">
        <v>289</v>
      </c>
      <c r="C30" s="72" t="s">
        <v>27</v>
      </c>
      <c r="D30" s="55"/>
      <c r="E30" s="72" t="s">
        <v>288</v>
      </c>
      <c r="F30" s="55"/>
      <c r="G30" s="72" t="s">
        <v>19</v>
      </c>
      <c r="H30" s="56">
        <v>0.0</v>
      </c>
      <c r="I30" s="73">
        <v>6.54</v>
      </c>
      <c r="J30" s="75"/>
      <c r="K30" s="55"/>
      <c r="L30" s="55"/>
      <c r="M30" s="55"/>
      <c r="N30" s="55"/>
      <c r="O30" s="76">
        <v>45989.0</v>
      </c>
    </row>
    <row r="31">
      <c r="A31" s="71" t="s">
        <v>290</v>
      </c>
      <c r="B31" s="72" t="s">
        <v>291</v>
      </c>
      <c r="C31" s="72" t="s">
        <v>27</v>
      </c>
      <c r="D31" s="55"/>
      <c r="E31" s="72" t="s">
        <v>290</v>
      </c>
      <c r="F31" s="55"/>
      <c r="G31" s="72" t="s">
        <v>134</v>
      </c>
      <c r="H31" s="56">
        <v>0.0</v>
      </c>
      <c r="I31" s="73">
        <v>63.08</v>
      </c>
      <c r="J31" s="75"/>
      <c r="K31" s="75"/>
      <c r="L31" s="55"/>
      <c r="M31" s="55"/>
      <c r="N31" s="55"/>
      <c r="O31" s="76">
        <v>45989.0</v>
      </c>
    </row>
    <row r="32">
      <c r="A32" s="71" t="s">
        <v>296</v>
      </c>
      <c r="B32" s="72" t="s">
        <v>297</v>
      </c>
      <c r="C32" s="72" t="s">
        <v>27</v>
      </c>
      <c r="D32" s="75"/>
      <c r="E32" s="72" t="s">
        <v>296</v>
      </c>
      <c r="F32" s="55"/>
      <c r="G32" s="72" t="s">
        <v>19</v>
      </c>
      <c r="H32" s="56">
        <v>0.0</v>
      </c>
      <c r="I32" s="73">
        <v>42.0</v>
      </c>
      <c r="J32" s="56">
        <v>42.0</v>
      </c>
      <c r="K32" s="72" t="s">
        <v>24</v>
      </c>
      <c r="L32" s="55"/>
      <c r="M32" s="55"/>
      <c r="N32" s="55"/>
      <c r="O32" s="74">
        <v>45988.0</v>
      </c>
    </row>
    <row r="33">
      <c r="A33" s="71" t="s">
        <v>298</v>
      </c>
      <c r="B33" s="72" t="s">
        <v>299</v>
      </c>
      <c r="C33" s="72" t="s">
        <v>27</v>
      </c>
      <c r="D33" s="55"/>
      <c r="E33" s="72" t="s">
        <v>298</v>
      </c>
      <c r="F33" s="55"/>
      <c r="G33" s="72" t="s">
        <v>23</v>
      </c>
      <c r="H33" s="56">
        <v>0.0</v>
      </c>
      <c r="I33" s="73">
        <v>0.74</v>
      </c>
      <c r="J33" s="56">
        <v>0.74</v>
      </c>
      <c r="K33" s="72" t="s">
        <v>24</v>
      </c>
      <c r="L33" s="55"/>
      <c r="M33" s="55"/>
      <c r="N33" s="55"/>
      <c r="O33" s="76">
        <v>45989.0</v>
      </c>
    </row>
    <row r="34">
      <c r="A34" s="71" t="s">
        <v>304</v>
      </c>
      <c r="B34" s="72" t="s">
        <v>305</v>
      </c>
      <c r="C34" s="72" t="s">
        <v>27</v>
      </c>
      <c r="D34" s="55"/>
      <c r="E34" s="72" t="s">
        <v>304</v>
      </c>
      <c r="F34" s="55"/>
      <c r="G34" s="72" t="s">
        <v>245</v>
      </c>
      <c r="H34" s="56">
        <v>0.0</v>
      </c>
      <c r="I34" s="73">
        <v>160.0</v>
      </c>
      <c r="J34" s="56">
        <v>160.0</v>
      </c>
      <c r="K34" s="72" t="s">
        <v>24</v>
      </c>
      <c r="L34" s="55"/>
      <c r="M34" s="55"/>
      <c r="N34" s="55"/>
      <c r="O34" s="74">
        <v>45988.0</v>
      </c>
    </row>
    <row r="35">
      <c r="A35" s="71" t="s">
        <v>308</v>
      </c>
      <c r="B35" s="72" t="s">
        <v>309</v>
      </c>
      <c r="C35" s="72" t="s">
        <v>27</v>
      </c>
      <c r="D35" s="55"/>
      <c r="E35" s="72" t="s">
        <v>308</v>
      </c>
      <c r="F35" s="55"/>
      <c r="G35" s="72" t="s">
        <v>19</v>
      </c>
      <c r="H35" s="56">
        <v>0.0</v>
      </c>
      <c r="I35" s="73">
        <v>12.42</v>
      </c>
      <c r="J35" s="75"/>
      <c r="K35" s="75"/>
      <c r="L35" s="55"/>
      <c r="M35" s="55"/>
      <c r="N35" s="55"/>
      <c r="O35" s="74">
        <v>45989.0</v>
      </c>
    </row>
    <row r="36">
      <c r="A36" s="71" t="s">
        <v>311</v>
      </c>
      <c r="B36" s="72" t="s">
        <v>312</v>
      </c>
      <c r="C36" s="72" t="s">
        <v>27</v>
      </c>
      <c r="D36" s="55"/>
      <c r="E36" s="75"/>
      <c r="F36" s="55"/>
      <c r="G36" s="72" t="s">
        <v>313</v>
      </c>
      <c r="H36" s="56">
        <v>1.0</v>
      </c>
      <c r="I36" s="73">
        <v>4.88</v>
      </c>
      <c r="J36" s="75"/>
      <c r="K36" s="75"/>
      <c r="L36" s="55"/>
      <c r="M36" s="55"/>
      <c r="N36" s="55"/>
      <c r="O36" s="74">
        <v>45847.0</v>
      </c>
    </row>
    <row r="37">
      <c r="A37" s="71" t="s">
        <v>316</v>
      </c>
      <c r="B37" s="72" t="s">
        <v>317</v>
      </c>
      <c r="C37" s="72" t="s">
        <v>27</v>
      </c>
      <c r="D37" s="55"/>
      <c r="E37" s="72" t="s">
        <v>316</v>
      </c>
      <c r="F37" s="55"/>
      <c r="G37" s="72" t="s">
        <v>19</v>
      </c>
      <c r="H37" s="56">
        <v>0.0</v>
      </c>
      <c r="I37" s="73">
        <v>18.99</v>
      </c>
      <c r="J37" s="56">
        <v>18.99</v>
      </c>
      <c r="K37" s="72" t="s">
        <v>24</v>
      </c>
      <c r="L37" s="55"/>
      <c r="M37" s="55"/>
      <c r="N37" s="55"/>
      <c r="O37" s="76">
        <v>45989.0</v>
      </c>
    </row>
    <row r="38">
      <c r="A38" s="71" t="s">
        <v>318</v>
      </c>
      <c r="B38" s="72" t="s">
        <v>319</v>
      </c>
      <c r="C38" s="72" t="s">
        <v>27</v>
      </c>
      <c r="D38" s="55"/>
      <c r="E38" s="72" t="s">
        <v>318</v>
      </c>
      <c r="F38" s="55"/>
      <c r="G38" s="72" t="s">
        <v>19</v>
      </c>
      <c r="H38" s="56">
        <v>0.0</v>
      </c>
      <c r="I38" s="73">
        <v>65.0</v>
      </c>
      <c r="J38" s="56">
        <v>65.0</v>
      </c>
      <c r="K38" s="72" t="s">
        <v>24</v>
      </c>
      <c r="L38" s="55"/>
      <c r="M38" s="55"/>
      <c r="N38" s="55"/>
      <c r="O38" s="76">
        <v>45988.0</v>
      </c>
    </row>
    <row r="39">
      <c r="A39" s="71" t="s">
        <v>320</v>
      </c>
      <c r="B39" s="72" t="s">
        <v>321</v>
      </c>
      <c r="C39" s="72" t="s">
        <v>27</v>
      </c>
      <c r="D39" s="55"/>
      <c r="E39" s="72" t="s">
        <v>320</v>
      </c>
      <c r="F39" s="55"/>
      <c r="G39" s="72" t="s">
        <v>19</v>
      </c>
      <c r="H39" s="56">
        <v>0.0</v>
      </c>
      <c r="I39" s="73">
        <v>155.0</v>
      </c>
      <c r="J39" s="56">
        <v>155.0</v>
      </c>
      <c r="K39" s="72" t="s">
        <v>24</v>
      </c>
      <c r="L39" s="55"/>
      <c r="M39" s="55"/>
      <c r="N39" s="55"/>
      <c r="O39" s="74">
        <v>45988.0</v>
      </c>
    </row>
    <row r="40">
      <c r="A40" s="71" t="s">
        <v>322</v>
      </c>
      <c r="B40" s="72" t="s">
        <v>323</v>
      </c>
      <c r="C40" s="72" t="s">
        <v>27</v>
      </c>
      <c r="D40" s="55"/>
      <c r="E40" s="72" t="s">
        <v>322</v>
      </c>
      <c r="F40" s="55"/>
      <c r="G40" s="72" t="s">
        <v>19</v>
      </c>
      <c r="H40" s="56">
        <v>0.0</v>
      </c>
      <c r="I40" s="73">
        <v>25.0</v>
      </c>
      <c r="J40" s="75"/>
      <c r="K40" s="75"/>
      <c r="L40" s="55"/>
      <c r="M40" s="55"/>
      <c r="N40" s="55"/>
      <c r="O40" s="74">
        <v>45989.0</v>
      </c>
    </row>
    <row r="41">
      <c r="A41" s="71" t="s">
        <v>324</v>
      </c>
      <c r="B41" s="72" t="s">
        <v>325</v>
      </c>
      <c r="C41" s="72" t="s">
        <v>27</v>
      </c>
      <c r="D41" s="55"/>
      <c r="E41" s="72" t="s">
        <v>324</v>
      </c>
      <c r="F41" s="55"/>
      <c r="G41" s="72" t="s">
        <v>19</v>
      </c>
      <c r="H41" s="56">
        <v>0.0</v>
      </c>
      <c r="I41" s="73">
        <v>47.0</v>
      </c>
      <c r="J41" s="55"/>
      <c r="K41" s="55"/>
      <c r="L41" s="55"/>
      <c r="M41" s="55"/>
      <c r="N41" s="55"/>
      <c r="O41" s="74">
        <v>45989.0</v>
      </c>
    </row>
    <row r="42">
      <c r="A42" s="71" t="s">
        <v>326</v>
      </c>
      <c r="B42" s="72" t="s">
        <v>327</v>
      </c>
      <c r="C42" s="72" t="s">
        <v>27</v>
      </c>
      <c r="D42" s="55"/>
      <c r="E42" s="72" t="s">
        <v>326</v>
      </c>
      <c r="F42" s="55"/>
      <c r="G42" s="72" t="s">
        <v>19</v>
      </c>
      <c r="H42" s="56">
        <v>0.0</v>
      </c>
      <c r="I42" s="73">
        <v>11.0</v>
      </c>
      <c r="J42" s="56">
        <v>11.0</v>
      </c>
      <c r="K42" s="72" t="s">
        <v>24</v>
      </c>
      <c r="L42" s="55"/>
      <c r="M42" s="55"/>
      <c r="N42" s="55"/>
      <c r="O42" s="76">
        <v>45988.0</v>
      </c>
    </row>
    <row r="43">
      <c r="A43" s="71" t="s">
        <v>328</v>
      </c>
      <c r="B43" s="72" t="s">
        <v>329</v>
      </c>
      <c r="C43" s="72" t="s">
        <v>27</v>
      </c>
      <c r="D43" s="55"/>
      <c r="E43" s="72" t="s">
        <v>328</v>
      </c>
      <c r="F43" s="55"/>
      <c r="G43" s="72" t="s">
        <v>19</v>
      </c>
      <c r="H43" s="56">
        <v>0.0</v>
      </c>
      <c r="I43" s="73">
        <v>55.0</v>
      </c>
      <c r="J43" s="56">
        <v>55.0</v>
      </c>
      <c r="K43" s="72" t="s">
        <v>24</v>
      </c>
      <c r="L43" s="55"/>
      <c r="M43" s="55"/>
      <c r="N43" s="55"/>
      <c r="O43" s="76">
        <v>45988.0</v>
      </c>
    </row>
    <row r="44">
      <c r="A44" s="71" t="s">
        <v>649</v>
      </c>
      <c r="B44" s="72" t="s">
        <v>331</v>
      </c>
      <c r="C44" s="72" t="s">
        <v>27</v>
      </c>
      <c r="D44" s="55"/>
      <c r="E44" s="75"/>
      <c r="F44" s="55"/>
      <c r="G44" s="72" t="s">
        <v>19</v>
      </c>
      <c r="H44" s="56">
        <v>0.0</v>
      </c>
      <c r="I44" s="73">
        <v>8.36</v>
      </c>
      <c r="J44" s="75"/>
      <c r="K44" s="75"/>
      <c r="L44" s="55"/>
      <c r="M44" s="55"/>
      <c r="N44" s="55"/>
      <c r="O44" s="74">
        <v>45860.0</v>
      </c>
    </row>
    <row r="45">
      <c r="A45" s="71" t="s">
        <v>347</v>
      </c>
      <c r="B45" s="72" t="s">
        <v>348</v>
      </c>
      <c r="C45" s="72" t="s">
        <v>27</v>
      </c>
      <c r="D45" s="55"/>
      <c r="E45" s="72" t="s">
        <v>347</v>
      </c>
      <c r="F45" s="55"/>
      <c r="G45" s="72" t="s">
        <v>19</v>
      </c>
      <c r="H45" s="56">
        <v>0.0</v>
      </c>
      <c r="I45" s="73">
        <v>0.0</v>
      </c>
      <c r="J45" s="75"/>
      <c r="K45" s="75"/>
      <c r="L45" s="55"/>
      <c r="M45" s="55"/>
      <c r="N45" s="55"/>
      <c r="O45" s="74">
        <v>45988.0</v>
      </c>
    </row>
    <row r="46">
      <c r="A46" s="71" t="s">
        <v>351</v>
      </c>
      <c r="B46" s="72" t="s">
        <v>352</v>
      </c>
      <c r="C46" s="72" t="s">
        <v>27</v>
      </c>
      <c r="D46" s="55"/>
      <c r="E46" s="72" t="s">
        <v>351</v>
      </c>
      <c r="F46" s="55"/>
      <c r="G46" s="72" t="s">
        <v>19</v>
      </c>
      <c r="H46" s="56">
        <v>0.0</v>
      </c>
      <c r="I46" s="73">
        <v>27.0</v>
      </c>
      <c r="J46" s="56">
        <v>27.0</v>
      </c>
      <c r="K46" s="72" t="s">
        <v>24</v>
      </c>
      <c r="L46" s="78"/>
      <c r="M46" s="55"/>
      <c r="N46" s="55"/>
      <c r="O46" s="74">
        <v>45988.0</v>
      </c>
    </row>
    <row r="47">
      <c r="A47" s="71" t="s">
        <v>353</v>
      </c>
      <c r="B47" s="72"/>
      <c r="C47" s="72"/>
      <c r="D47" s="55"/>
      <c r="E47" s="72" t="s">
        <v>353</v>
      </c>
      <c r="F47" s="55"/>
      <c r="G47" s="72" t="s">
        <v>19</v>
      </c>
      <c r="H47" s="56"/>
      <c r="I47" s="73">
        <v>32.9</v>
      </c>
      <c r="J47" s="56">
        <v>50.0</v>
      </c>
      <c r="K47" s="72"/>
      <c r="L47" s="78"/>
      <c r="M47" s="55"/>
      <c r="N47" s="55"/>
      <c r="O47" s="74"/>
    </row>
    <row r="48">
      <c r="A48" s="71" t="s">
        <v>357</v>
      </c>
      <c r="B48" s="72" t="s">
        <v>358</v>
      </c>
      <c r="C48" s="72" t="s">
        <v>27</v>
      </c>
      <c r="D48" s="55"/>
      <c r="E48" s="75"/>
      <c r="F48" s="55"/>
      <c r="G48" s="75"/>
      <c r="H48" s="56">
        <v>0.0</v>
      </c>
      <c r="I48" s="73">
        <v>8.36</v>
      </c>
      <c r="J48" s="56">
        <v>11.75</v>
      </c>
      <c r="K48" s="72" t="s">
        <v>24</v>
      </c>
      <c r="L48" s="55"/>
      <c r="M48" s="55"/>
      <c r="N48" s="55"/>
      <c r="O48" s="74">
        <v>45988.0</v>
      </c>
    </row>
    <row r="49">
      <c r="A49" s="71" t="s">
        <v>367</v>
      </c>
      <c r="B49" s="72" t="s">
        <v>368</v>
      </c>
      <c r="C49" s="72" t="s">
        <v>27</v>
      </c>
      <c r="D49" s="55"/>
      <c r="E49" s="72" t="s">
        <v>367</v>
      </c>
      <c r="F49" s="55"/>
      <c r="G49" s="72" t="s">
        <v>248</v>
      </c>
      <c r="H49" s="56">
        <v>0.0</v>
      </c>
      <c r="I49" s="73">
        <v>47.0</v>
      </c>
      <c r="J49" s="56">
        <v>47.0</v>
      </c>
      <c r="K49" s="72" t="s">
        <v>24</v>
      </c>
      <c r="L49" s="55"/>
      <c r="M49" s="55"/>
      <c r="N49" s="55"/>
      <c r="O49" s="74">
        <v>45988.0</v>
      </c>
    </row>
    <row r="50">
      <c r="A50" s="71" t="s">
        <v>369</v>
      </c>
      <c r="B50" s="72" t="s">
        <v>370</v>
      </c>
      <c r="C50" s="72" t="s">
        <v>27</v>
      </c>
      <c r="D50" s="55"/>
      <c r="E50" s="72" t="s">
        <v>369</v>
      </c>
      <c r="F50" s="55"/>
      <c r="G50" s="72" t="s">
        <v>248</v>
      </c>
      <c r="H50" s="56">
        <v>0.0</v>
      </c>
      <c r="I50" s="73">
        <v>25.0</v>
      </c>
      <c r="J50" s="56">
        <v>25.0</v>
      </c>
      <c r="K50" s="72" t="s">
        <v>24</v>
      </c>
      <c r="L50" s="55"/>
      <c r="M50" s="55"/>
      <c r="N50" s="55"/>
      <c r="O50" s="74">
        <v>45989.0</v>
      </c>
    </row>
    <row r="51">
      <c r="A51" s="71" t="s">
        <v>373</v>
      </c>
      <c r="B51" s="72" t="s">
        <v>374</v>
      </c>
      <c r="C51" s="72" t="s">
        <v>27</v>
      </c>
      <c r="D51" s="55"/>
      <c r="E51" s="72" t="s">
        <v>373</v>
      </c>
      <c r="F51" s="55"/>
      <c r="G51" s="72" t="s">
        <v>375</v>
      </c>
      <c r="H51" s="56">
        <v>0.0</v>
      </c>
      <c r="I51" s="73">
        <v>8.0</v>
      </c>
      <c r="J51" s="75"/>
      <c r="K51" s="75"/>
      <c r="L51" s="55"/>
      <c r="M51" s="55"/>
      <c r="N51" s="55"/>
      <c r="O51" s="76">
        <v>45988.0</v>
      </c>
    </row>
    <row r="52">
      <c r="A52" s="71" t="s">
        <v>376</v>
      </c>
      <c r="B52" s="72" t="s">
        <v>377</v>
      </c>
      <c r="C52" s="72" t="s">
        <v>27</v>
      </c>
      <c r="D52" s="55"/>
      <c r="E52" s="72" t="s">
        <v>376</v>
      </c>
      <c r="F52" s="55"/>
      <c r="G52" s="72" t="s">
        <v>375</v>
      </c>
      <c r="H52" s="56">
        <v>0.0</v>
      </c>
      <c r="I52" s="73">
        <v>12.0</v>
      </c>
      <c r="J52" s="75"/>
      <c r="K52" s="55"/>
      <c r="L52" s="55"/>
      <c r="M52" s="55"/>
      <c r="N52" s="55"/>
      <c r="O52" s="76">
        <v>45988.0</v>
      </c>
    </row>
    <row r="53">
      <c r="A53" s="71" t="s">
        <v>396</v>
      </c>
      <c r="B53" s="72" t="s">
        <v>397</v>
      </c>
      <c r="C53" s="72" t="s">
        <v>27</v>
      </c>
      <c r="D53" s="55"/>
      <c r="E53" s="72" t="s">
        <v>396</v>
      </c>
      <c r="F53" s="55"/>
      <c r="G53" s="72" t="s">
        <v>23</v>
      </c>
      <c r="H53" s="56">
        <v>0.0</v>
      </c>
      <c r="I53" s="73">
        <v>0.33</v>
      </c>
      <c r="J53" s="56">
        <v>0.33</v>
      </c>
      <c r="K53" s="72" t="s">
        <v>24</v>
      </c>
      <c r="L53" s="55"/>
      <c r="M53" s="55"/>
      <c r="N53" s="55"/>
      <c r="O53" s="76">
        <v>45989.0</v>
      </c>
    </row>
    <row r="54">
      <c r="A54" s="71" t="s">
        <v>429</v>
      </c>
      <c r="B54" s="72" t="s">
        <v>430</v>
      </c>
      <c r="C54" s="72" t="s">
        <v>27</v>
      </c>
      <c r="D54" s="55"/>
      <c r="E54" s="72" t="s">
        <v>429</v>
      </c>
      <c r="F54" s="55"/>
      <c r="G54" s="72" t="s">
        <v>134</v>
      </c>
      <c r="H54" s="56">
        <v>0.0</v>
      </c>
      <c r="I54" s="73">
        <v>225.65</v>
      </c>
      <c r="J54" s="75"/>
      <c r="K54" s="75"/>
      <c r="L54" s="55"/>
      <c r="M54" s="55"/>
      <c r="N54" s="55"/>
      <c r="O54" s="76">
        <v>45989.0</v>
      </c>
    </row>
    <row r="55">
      <c r="A55" s="71" t="s">
        <v>431</v>
      </c>
      <c r="B55" s="72" t="s">
        <v>432</v>
      </c>
      <c r="C55" s="72" t="s">
        <v>27</v>
      </c>
      <c r="D55" s="55"/>
      <c r="E55" s="72" t="s">
        <v>431</v>
      </c>
      <c r="F55" s="55"/>
      <c r="G55" s="72" t="s">
        <v>19</v>
      </c>
      <c r="H55" s="56">
        <v>0.0</v>
      </c>
      <c r="I55" s="73">
        <v>1.1</v>
      </c>
      <c r="J55" s="56">
        <v>1.1</v>
      </c>
      <c r="K55" s="72" t="s">
        <v>24</v>
      </c>
      <c r="L55" s="55"/>
      <c r="M55" s="55"/>
      <c r="N55" s="55"/>
      <c r="O55" s="76">
        <v>45989.0</v>
      </c>
    </row>
    <row r="56">
      <c r="A56" s="71" t="s">
        <v>433</v>
      </c>
      <c r="B56" s="72" t="s">
        <v>434</v>
      </c>
      <c r="C56" s="72" t="s">
        <v>27</v>
      </c>
      <c r="D56" s="55"/>
      <c r="E56" s="72" t="s">
        <v>433</v>
      </c>
      <c r="F56" s="55"/>
      <c r="G56" s="72" t="s">
        <v>23</v>
      </c>
      <c r="H56" s="56">
        <v>0.0</v>
      </c>
      <c r="I56" s="73">
        <v>0.51</v>
      </c>
      <c r="J56" s="56">
        <v>0.51</v>
      </c>
      <c r="K56" s="72" t="s">
        <v>24</v>
      </c>
      <c r="L56" s="55"/>
      <c r="M56" s="55"/>
      <c r="N56" s="55"/>
      <c r="O56" s="76">
        <v>45989.0</v>
      </c>
    </row>
    <row r="57">
      <c r="A57" s="71" t="s">
        <v>435</v>
      </c>
      <c r="B57" s="72" t="s">
        <v>436</v>
      </c>
      <c r="C57" s="72" t="s">
        <v>27</v>
      </c>
      <c r="D57" s="55"/>
      <c r="E57" s="72" t="s">
        <v>435</v>
      </c>
      <c r="F57" s="55"/>
      <c r="G57" s="72" t="s">
        <v>19</v>
      </c>
      <c r="H57" s="56">
        <v>0.0</v>
      </c>
      <c r="I57" s="73">
        <v>10.18</v>
      </c>
      <c r="J57" s="75"/>
      <c r="K57" s="75"/>
      <c r="L57" s="55"/>
      <c r="M57" s="55"/>
      <c r="N57" s="55"/>
      <c r="O57" s="76">
        <v>45989.0</v>
      </c>
    </row>
    <row r="58">
      <c r="A58" s="71" t="s">
        <v>437</v>
      </c>
      <c r="B58" s="72" t="s">
        <v>438</v>
      </c>
      <c r="C58" s="72" t="s">
        <v>27</v>
      </c>
      <c r="D58" s="55"/>
      <c r="E58" s="72" t="s">
        <v>437</v>
      </c>
      <c r="F58" s="55"/>
      <c r="G58" s="72" t="s">
        <v>134</v>
      </c>
      <c r="H58" s="56">
        <v>0.0</v>
      </c>
      <c r="I58" s="73">
        <v>45.0</v>
      </c>
      <c r="J58" s="75"/>
      <c r="K58" s="75"/>
      <c r="L58" s="55"/>
      <c r="M58" s="55"/>
      <c r="N58" s="55"/>
      <c r="O58" s="76">
        <v>45989.0</v>
      </c>
    </row>
    <row r="59">
      <c r="A59" s="71" t="s">
        <v>441</v>
      </c>
      <c r="B59" s="72" t="s">
        <v>442</v>
      </c>
      <c r="C59" s="72" t="s">
        <v>27</v>
      </c>
      <c r="D59" s="55"/>
      <c r="E59" s="72" t="s">
        <v>441</v>
      </c>
      <c r="F59" s="55"/>
      <c r="G59" s="72" t="s">
        <v>23</v>
      </c>
      <c r="H59" s="56">
        <v>0.0</v>
      </c>
      <c r="I59" s="73">
        <v>0.1</v>
      </c>
      <c r="J59" s="56">
        <v>0.1</v>
      </c>
      <c r="K59" s="72" t="s">
        <v>24</v>
      </c>
      <c r="L59" s="55"/>
      <c r="M59" s="55"/>
      <c r="N59" s="55"/>
      <c r="O59" s="76">
        <v>45988.0</v>
      </c>
    </row>
    <row r="60">
      <c r="A60" s="71" t="s">
        <v>456</v>
      </c>
      <c r="B60" s="72" t="s">
        <v>457</v>
      </c>
      <c r="C60" s="72" t="s">
        <v>27</v>
      </c>
      <c r="D60" s="55"/>
      <c r="E60" s="72" t="s">
        <v>456</v>
      </c>
      <c r="F60" s="55"/>
      <c r="G60" s="72" t="s">
        <v>116</v>
      </c>
      <c r="H60" s="56">
        <v>0.0</v>
      </c>
      <c r="I60" s="73">
        <v>0.17</v>
      </c>
      <c r="J60" s="56">
        <v>0.28</v>
      </c>
      <c r="K60" s="72" t="s">
        <v>24</v>
      </c>
      <c r="L60" s="55"/>
      <c r="M60" s="55"/>
      <c r="N60" s="55"/>
      <c r="O60" s="76">
        <v>45988.0</v>
      </c>
    </row>
    <row r="61">
      <c r="A61" s="71" t="s">
        <v>817</v>
      </c>
      <c r="B61" s="72"/>
      <c r="C61" s="72"/>
      <c r="D61" s="55"/>
      <c r="E61" s="72" t="s">
        <v>817</v>
      </c>
      <c r="F61" s="55"/>
      <c r="G61" s="72"/>
      <c r="H61" s="56"/>
      <c r="I61" s="73"/>
      <c r="J61" s="72">
        <v>0.25</v>
      </c>
      <c r="K61" s="75"/>
      <c r="L61" s="55"/>
      <c r="M61" s="55"/>
      <c r="N61" s="55"/>
      <c r="O61" s="76"/>
    </row>
    <row r="62">
      <c r="A62" s="71" t="s">
        <v>458</v>
      </c>
      <c r="B62" s="72" t="s">
        <v>459</v>
      </c>
      <c r="C62" s="72" t="s">
        <v>27</v>
      </c>
      <c r="D62" s="55"/>
      <c r="E62" s="72" t="s">
        <v>458</v>
      </c>
      <c r="F62" s="55"/>
      <c r="G62" s="72" t="s">
        <v>375</v>
      </c>
      <c r="H62" s="56">
        <v>0.0</v>
      </c>
      <c r="I62" s="73">
        <v>100.0</v>
      </c>
      <c r="J62" s="75"/>
      <c r="K62" s="75"/>
      <c r="L62" s="55"/>
      <c r="M62" s="55"/>
      <c r="N62" s="55"/>
      <c r="O62" s="76">
        <v>45988.0</v>
      </c>
    </row>
    <row r="63">
      <c r="A63" s="71" t="s">
        <v>477</v>
      </c>
      <c r="B63" s="72" t="s">
        <v>478</v>
      </c>
      <c r="C63" s="72" t="s">
        <v>27</v>
      </c>
      <c r="D63" s="55"/>
      <c r="E63" s="72" t="s">
        <v>477</v>
      </c>
      <c r="F63" s="55"/>
      <c r="G63" s="72" t="s">
        <v>19</v>
      </c>
      <c r="H63" s="56">
        <v>0.0</v>
      </c>
      <c r="I63" s="73">
        <v>3.35</v>
      </c>
      <c r="J63" s="56">
        <v>5.63</v>
      </c>
      <c r="K63" s="72" t="s">
        <v>24</v>
      </c>
      <c r="L63" s="55"/>
      <c r="M63" s="55"/>
      <c r="N63" s="55"/>
      <c r="O63" s="76">
        <v>45989.0</v>
      </c>
    </row>
    <row r="64">
      <c r="A64" s="79"/>
    </row>
    <row r="65">
      <c r="A65" s="79"/>
    </row>
    <row r="66">
      <c r="A66" s="79"/>
    </row>
    <row r="67">
      <c r="A67" s="79"/>
    </row>
    <row r="68">
      <c r="A68" s="79"/>
    </row>
    <row r="69">
      <c r="A69" s="79"/>
    </row>
    <row r="70">
      <c r="A70" s="79"/>
    </row>
    <row r="71">
      <c r="A71" s="79"/>
    </row>
    <row r="72">
      <c r="A72" s="79"/>
    </row>
    <row r="73">
      <c r="A73" s="79"/>
    </row>
    <row r="74">
      <c r="A74" s="79"/>
    </row>
    <row r="75">
      <c r="A75" s="79"/>
    </row>
    <row r="76">
      <c r="A76" s="79"/>
    </row>
    <row r="77">
      <c r="A77" s="79"/>
    </row>
    <row r="78">
      <c r="A78" s="79"/>
    </row>
    <row r="79">
      <c r="A79" s="79"/>
    </row>
    <row r="80">
      <c r="A80" s="79"/>
    </row>
    <row r="81">
      <c r="A81" s="79"/>
    </row>
    <row r="82">
      <c r="A82" s="79"/>
    </row>
    <row r="83">
      <c r="A83" s="79"/>
    </row>
    <row r="84">
      <c r="A84" s="79"/>
    </row>
    <row r="85">
      <c r="A85" s="79"/>
    </row>
    <row r="86">
      <c r="A86" s="79"/>
    </row>
    <row r="87">
      <c r="A87" s="79"/>
    </row>
    <row r="88">
      <c r="A88" s="79"/>
    </row>
    <row r="89">
      <c r="A89" s="79"/>
    </row>
    <row r="90">
      <c r="A90" s="79"/>
    </row>
    <row r="91">
      <c r="A91" s="79"/>
    </row>
    <row r="92">
      <c r="A92" s="79"/>
    </row>
    <row r="93">
      <c r="A93" s="79"/>
    </row>
    <row r="94">
      <c r="A94" s="79"/>
    </row>
    <row r="95">
      <c r="A95" s="79"/>
    </row>
    <row r="96">
      <c r="A96" s="79"/>
    </row>
    <row r="97">
      <c r="A97" s="79"/>
    </row>
    <row r="98">
      <c r="A98" s="79"/>
    </row>
    <row r="99">
      <c r="A99" s="79"/>
    </row>
    <row r="100">
      <c r="A100" s="79"/>
    </row>
    <row r="101">
      <c r="A101" s="79"/>
    </row>
    <row r="102">
      <c r="A102" s="79"/>
    </row>
    <row r="103">
      <c r="A103" s="79"/>
    </row>
    <row r="104">
      <c r="A104" s="79"/>
    </row>
    <row r="105">
      <c r="A105" s="79"/>
    </row>
    <row r="106">
      <c r="A106" s="79"/>
    </row>
    <row r="107">
      <c r="A107" s="79"/>
    </row>
    <row r="108">
      <c r="A108" s="79"/>
    </row>
    <row r="109">
      <c r="A109" s="79"/>
    </row>
    <row r="110">
      <c r="A110" s="79"/>
    </row>
    <row r="111">
      <c r="A111" s="79"/>
    </row>
    <row r="112">
      <c r="A112" s="79"/>
    </row>
    <row r="113">
      <c r="A113" s="79"/>
    </row>
    <row r="114">
      <c r="A114" s="79"/>
    </row>
    <row r="115">
      <c r="A115" s="79"/>
    </row>
    <row r="116">
      <c r="A116" s="79"/>
    </row>
    <row r="117">
      <c r="A117" s="79"/>
    </row>
    <row r="118">
      <c r="A118" s="79"/>
    </row>
    <row r="119">
      <c r="A119" s="79"/>
    </row>
    <row r="120">
      <c r="A120" s="79"/>
    </row>
    <row r="121">
      <c r="A121" s="79"/>
    </row>
    <row r="122">
      <c r="A122" s="79"/>
    </row>
    <row r="123">
      <c r="A123" s="79"/>
    </row>
    <row r="124">
      <c r="A124" s="79"/>
    </row>
    <row r="125">
      <c r="A125" s="79"/>
    </row>
    <row r="126">
      <c r="A126" s="79"/>
    </row>
    <row r="127">
      <c r="A127" s="79"/>
    </row>
    <row r="128">
      <c r="A128" s="79"/>
    </row>
    <row r="129">
      <c r="A129" s="79"/>
    </row>
    <row r="130">
      <c r="A130" s="79"/>
    </row>
    <row r="131">
      <c r="A131" s="79"/>
    </row>
    <row r="132">
      <c r="A132" s="79"/>
    </row>
    <row r="133">
      <c r="A133" s="79"/>
    </row>
    <row r="134">
      <c r="A134" s="79"/>
    </row>
    <row r="135">
      <c r="A135" s="79"/>
    </row>
    <row r="136">
      <c r="A136" s="79"/>
    </row>
    <row r="137">
      <c r="A137" s="79"/>
    </row>
    <row r="138">
      <c r="A138" s="79"/>
    </row>
    <row r="139">
      <c r="A139" s="79"/>
    </row>
    <row r="140">
      <c r="A140" s="79"/>
    </row>
    <row r="141">
      <c r="A141" s="79"/>
    </row>
    <row r="142">
      <c r="A142" s="79"/>
    </row>
    <row r="143">
      <c r="A143" s="79"/>
    </row>
    <row r="144">
      <c r="A144" s="79"/>
    </row>
    <row r="145">
      <c r="A145" s="79"/>
    </row>
    <row r="146">
      <c r="A146" s="79"/>
    </row>
    <row r="147">
      <c r="A147" s="79"/>
    </row>
    <row r="148">
      <c r="A148" s="79"/>
    </row>
    <row r="149">
      <c r="A149" s="79"/>
    </row>
    <row r="150">
      <c r="A150" s="79"/>
    </row>
    <row r="151">
      <c r="A151" s="79"/>
    </row>
    <row r="152">
      <c r="A152" s="79"/>
    </row>
    <row r="153">
      <c r="A153" s="79"/>
    </row>
    <row r="154">
      <c r="A154" s="79"/>
    </row>
    <row r="155">
      <c r="A155" s="79"/>
    </row>
    <row r="156">
      <c r="A156" s="79"/>
    </row>
    <row r="157">
      <c r="A157" s="79"/>
    </row>
    <row r="158">
      <c r="A158" s="79"/>
    </row>
    <row r="159">
      <c r="A159" s="79"/>
    </row>
    <row r="160">
      <c r="A160" s="79"/>
    </row>
    <row r="161">
      <c r="A161" s="79"/>
    </row>
    <row r="162">
      <c r="A162" s="79"/>
    </row>
    <row r="163">
      <c r="A163" s="79"/>
    </row>
    <row r="164">
      <c r="A164" s="79"/>
    </row>
    <row r="165">
      <c r="A165" s="79"/>
    </row>
    <row r="166">
      <c r="A166" s="79"/>
    </row>
    <row r="167">
      <c r="A167" s="79"/>
    </row>
    <row r="168">
      <c r="A168" s="79"/>
    </row>
    <row r="169">
      <c r="A169" s="79"/>
    </row>
    <row r="170">
      <c r="A170" s="79"/>
    </row>
    <row r="171">
      <c r="A171" s="79"/>
    </row>
    <row r="172">
      <c r="A172" s="79"/>
    </row>
    <row r="173">
      <c r="A173" s="79"/>
    </row>
    <row r="174">
      <c r="A174" s="79"/>
    </row>
    <row r="175">
      <c r="A175" s="79"/>
    </row>
    <row r="176">
      <c r="A176" s="79"/>
    </row>
    <row r="177">
      <c r="A177" s="79"/>
    </row>
    <row r="178">
      <c r="A178" s="79"/>
    </row>
    <row r="179">
      <c r="A179" s="79"/>
    </row>
    <row r="180">
      <c r="A180" s="79"/>
    </row>
    <row r="181">
      <c r="A181" s="79"/>
    </row>
    <row r="182">
      <c r="A182" s="79"/>
    </row>
    <row r="183">
      <c r="A183" s="79"/>
    </row>
    <row r="184">
      <c r="A184" s="79"/>
    </row>
    <row r="185">
      <c r="A185" s="79"/>
    </row>
    <row r="186">
      <c r="A186" s="79"/>
    </row>
    <row r="187">
      <c r="A187" s="79"/>
    </row>
    <row r="188">
      <c r="A188" s="79"/>
    </row>
    <row r="189">
      <c r="A189" s="79"/>
    </row>
    <row r="190">
      <c r="A190" s="79"/>
    </row>
    <row r="191">
      <c r="A191" s="79"/>
    </row>
    <row r="192">
      <c r="A192" s="79"/>
    </row>
    <row r="193">
      <c r="A193" s="79"/>
    </row>
    <row r="194">
      <c r="A194" s="79"/>
    </row>
    <row r="195">
      <c r="A195" s="79"/>
    </row>
    <row r="196">
      <c r="A196" s="79"/>
    </row>
    <row r="197">
      <c r="A197" s="79"/>
    </row>
    <row r="198">
      <c r="A198" s="79"/>
    </row>
    <row r="199">
      <c r="A199" s="79"/>
    </row>
    <row r="200">
      <c r="A200" s="79"/>
    </row>
    <row r="201">
      <c r="A201" s="79"/>
    </row>
    <row r="202">
      <c r="A202" s="79"/>
    </row>
    <row r="203">
      <c r="A203" s="79"/>
    </row>
    <row r="204">
      <c r="A204" s="79"/>
    </row>
    <row r="205">
      <c r="A205" s="79"/>
    </row>
    <row r="206">
      <c r="A206" s="79"/>
    </row>
    <row r="207">
      <c r="A207" s="79"/>
    </row>
    <row r="208">
      <c r="A208" s="79"/>
    </row>
    <row r="209">
      <c r="A209" s="79"/>
    </row>
    <row r="210">
      <c r="A210" s="79"/>
    </row>
    <row r="211">
      <c r="A211" s="79"/>
    </row>
    <row r="212">
      <c r="A212" s="79"/>
    </row>
    <row r="213">
      <c r="A213" s="79"/>
    </row>
    <row r="214">
      <c r="A214" s="79"/>
    </row>
    <row r="215">
      <c r="A215" s="79"/>
    </row>
    <row r="216">
      <c r="A216" s="79"/>
    </row>
    <row r="217">
      <c r="A217" s="79"/>
    </row>
    <row r="218">
      <c r="A218" s="79"/>
    </row>
    <row r="219">
      <c r="A219" s="79"/>
    </row>
    <row r="220">
      <c r="A220" s="79"/>
    </row>
    <row r="221">
      <c r="A221" s="79"/>
    </row>
    <row r="222">
      <c r="A222" s="79"/>
    </row>
    <row r="223">
      <c r="A223" s="79"/>
    </row>
    <row r="224">
      <c r="A224" s="79"/>
    </row>
    <row r="225">
      <c r="A225" s="79"/>
    </row>
    <row r="226">
      <c r="A226" s="79"/>
    </row>
    <row r="227">
      <c r="A227" s="79"/>
    </row>
    <row r="228">
      <c r="A228" s="79"/>
    </row>
    <row r="229">
      <c r="A229" s="79"/>
    </row>
    <row r="230">
      <c r="A230" s="79"/>
    </row>
    <row r="231">
      <c r="A231" s="79"/>
    </row>
    <row r="232">
      <c r="A232" s="79"/>
    </row>
    <row r="233">
      <c r="A233" s="79"/>
    </row>
    <row r="234">
      <c r="A234" s="79"/>
    </row>
    <row r="235">
      <c r="A235" s="79"/>
    </row>
    <row r="236">
      <c r="A236" s="79"/>
    </row>
    <row r="237">
      <c r="A237" s="79"/>
    </row>
    <row r="238">
      <c r="A238" s="79"/>
    </row>
    <row r="239">
      <c r="A239" s="79"/>
    </row>
    <row r="240">
      <c r="A240" s="79"/>
    </row>
    <row r="241">
      <c r="A241" s="79"/>
    </row>
    <row r="242">
      <c r="A242" s="79"/>
    </row>
    <row r="243">
      <c r="A243" s="79"/>
    </row>
    <row r="244">
      <c r="A244" s="79"/>
    </row>
    <row r="245">
      <c r="A245" s="79"/>
    </row>
    <row r="246">
      <c r="A246" s="79"/>
    </row>
    <row r="247">
      <c r="A247" s="79"/>
    </row>
    <row r="248">
      <c r="A248" s="79"/>
    </row>
    <row r="249">
      <c r="A249" s="79"/>
    </row>
    <row r="250">
      <c r="A250" s="79"/>
    </row>
    <row r="251">
      <c r="A251" s="79"/>
    </row>
    <row r="252">
      <c r="A252" s="79"/>
    </row>
    <row r="253">
      <c r="A253" s="79"/>
    </row>
    <row r="254">
      <c r="A254" s="79"/>
    </row>
    <row r="255">
      <c r="A255" s="79"/>
    </row>
    <row r="256">
      <c r="A256" s="79"/>
    </row>
    <row r="257">
      <c r="A257" s="79"/>
    </row>
    <row r="258">
      <c r="A258" s="79"/>
    </row>
    <row r="259">
      <c r="A259" s="79"/>
    </row>
    <row r="260">
      <c r="A260" s="79"/>
    </row>
    <row r="261">
      <c r="A261" s="79"/>
    </row>
    <row r="262">
      <c r="A262" s="79"/>
    </row>
    <row r="263">
      <c r="A263" s="79"/>
    </row>
    <row r="264">
      <c r="A264" s="79"/>
    </row>
    <row r="265">
      <c r="A265" s="79"/>
    </row>
    <row r="266">
      <c r="A266" s="79"/>
    </row>
    <row r="267">
      <c r="A267" s="79"/>
    </row>
    <row r="268">
      <c r="A268" s="79"/>
    </row>
    <row r="269">
      <c r="A269" s="79"/>
    </row>
    <row r="270">
      <c r="A270" s="79"/>
    </row>
    <row r="271">
      <c r="A271" s="79"/>
    </row>
    <row r="272">
      <c r="A272" s="79"/>
    </row>
    <row r="273">
      <c r="A273" s="79"/>
    </row>
    <row r="274">
      <c r="A274" s="79"/>
    </row>
    <row r="275">
      <c r="A275" s="79"/>
    </row>
    <row r="276">
      <c r="A276" s="79"/>
    </row>
    <row r="277">
      <c r="A277" s="79"/>
    </row>
    <row r="278">
      <c r="A278" s="79"/>
    </row>
    <row r="279">
      <c r="A279" s="79"/>
    </row>
    <row r="280">
      <c r="A280" s="79"/>
    </row>
    <row r="281">
      <c r="A281" s="79"/>
    </row>
    <row r="282">
      <c r="A282" s="79"/>
    </row>
    <row r="283">
      <c r="A283" s="79"/>
    </row>
    <row r="284">
      <c r="A284" s="79"/>
    </row>
    <row r="285">
      <c r="A285" s="79"/>
    </row>
    <row r="286">
      <c r="A286" s="79"/>
    </row>
    <row r="287">
      <c r="A287" s="79"/>
    </row>
    <row r="288">
      <c r="A288" s="79"/>
    </row>
    <row r="289">
      <c r="A289" s="79"/>
    </row>
    <row r="290">
      <c r="A290" s="79"/>
    </row>
    <row r="291">
      <c r="A291" s="79"/>
    </row>
    <row r="292">
      <c r="A292" s="79"/>
    </row>
    <row r="293">
      <c r="A293" s="79"/>
    </row>
    <row r="294">
      <c r="A294" s="79"/>
    </row>
    <row r="295">
      <c r="A295" s="79"/>
    </row>
    <row r="296">
      <c r="A296" s="79"/>
    </row>
    <row r="297">
      <c r="A297" s="79"/>
    </row>
    <row r="298">
      <c r="A298" s="79"/>
    </row>
    <row r="299">
      <c r="A299" s="79"/>
    </row>
    <row r="300">
      <c r="A300" s="79"/>
    </row>
    <row r="301">
      <c r="A301" s="79"/>
    </row>
    <row r="302">
      <c r="A302" s="79"/>
    </row>
    <row r="303">
      <c r="A303" s="79"/>
    </row>
    <row r="304">
      <c r="A304" s="79"/>
    </row>
    <row r="305">
      <c r="A305" s="79"/>
    </row>
    <row r="306">
      <c r="A306" s="79"/>
    </row>
    <row r="307">
      <c r="A307" s="79"/>
    </row>
    <row r="308">
      <c r="A308" s="79"/>
    </row>
    <row r="309">
      <c r="A309" s="79"/>
    </row>
    <row r="310">
      <c r="A310" s="79"/>
    </row>
    <row r="311">
      <c r="A311" s="79"/>
    </row>
    <row r="312">
      <c r="A312" s="79"/>
    </row>
    <row r="313">
      <c r="A313" s="79"/>
    </row>
    <row r="314">
      <c r="A314" s="79"/>
    </row>
    <row r="315">
      <c r="A315" s="79"/>
    </row>
    <row r="316">
      <c r="A316" s="79"/>
    </row>
    <row r="317">
      <c r="A317" s="79"/>
    </row>
    <row r="318">
      <c r="A318" s="79"/>
    </row>
    <row r="319">
      <c r="A319" s="79"/>
    </row>
    <row r="320">
      <c r="A320" s="79"/>
    </row>
    <row r="321">
      <c r="A321" s="79"/>
    </row>
    <row r="322">
      <c r="A322" s="79"/>
    </row>
    <row r="323">
      <c r="A323" s="79"/>
    </row>
    <row r="324">
      <c r="A324" s="79"/>
    </row>
    <row r="325">
      <c r="A325" s="79"/>
    </row>
    <row r="326">
      <c r="A326" s="79"/>
    </row>
    <row r="327">
      <c r="A327" s="79"/>
    </row>
    <row r="328">
      <c r="A328" s="79"/>
    </row>
    <row r="329">
      <c r="A329" s="79"/>
    </row>
    <row r="330">
      <c r="A330" s="79"/>
    </row>
    <row r="331">
      <c r="A331" s="79"/>
    </row>
    <row r="332">
      <c r="A332" s="79"/>
    </row>
    <row r="333">
      <c r="A333" s="79"/>
    </row>
    <row r="334">
      <c r="A334" s="79"/>
    </row>
    <row r="335">
      <c r="A335" s="79"/>
    </row>
    <row r="336">
      <c r="A336" s="79"/>
    </row>
    <row r="337">
      <c r="A337" s="79"/>
    </row>
    <row r="338">
      <c r="A338" s="79"/>
    </row>
    <row r="339">
      <c r="A339" s="79"/>
    </row>
    <row r="340">
      <c r="A340" s="79"/>
    </row>
    <row r="341">
      <c r="A341" s="79"/>
    </row>
    <row r="342">
      <c r="A342" s="79"/>
    </row>
    <row r="343">
      <c r="A343" s="79"/>
    </row>
    <row r="344">
      <c r="A344" s="79"/>
    </row>
    <row r="345">
      <c r="A345" s="79"/>
    </row>
    <row r="346">
      <c r="A346" s="79"/>
    </row>
    <row r="347">
      <c r="A347" s="79"/>
    </row>
    <row r="348">
      <c r="A348" s="79"/>
    </row>
    <row r="349">
      <c r="A349" s="79"/>
    </row>
    <row r="350">
      <c r="A350" s="79"/>
    </row>
    <row r="351">
      <c r="A351" s="79"/>
    </row>
    <row r="352">
      <c r="A352" s="79"/>
    </row>
    <row r="353">
      <c r="A353" s="79"/>
    </row>
    <row r="354">
      <c r="A354" s="79"/>
    </row>
    <row r="355">
      <c r="A355" s="79"/>
    </row>
    <row r="356">
      <c r="A356" s="79"/>
    </row>
    <row r="357">
      <c r="A357" s="79"/>
    </row>
    <row r="358">
      <c r="A358" s="79"/>
    </row>
    <row r="359">
      <c r="A359" s="79"/>
    </row>
    <row r="360">
      <c r="A360" s="79"/>
    </row>
    <row r="361">
      <c r="A361" s="79"/>
    </row>
    <row r="362">
      <c r="A362" s="79"/>
    </row>
    <row r="363">
      <c r="A363" s="79"/>
    </row>
    <row r="364">
      <c r="A364" s="79"/>
    </row>
    <row r="365">
      <c r="A365" s="79"/>
    </row>
    <row r="366">
      <c r="A366" s="79"/>
    </row>
    <row r="367">
      <c r="A367" s="79"/>
    </row>
    <row r="368">
      <c r="A368" s="79"/>
    </row>
    <row r="369">
      <c r="A369" s="79"/>
    </row>
    <row r="370">
      <c r="A370" s="79"/>
    </row>
    <row r="371">
      <c r="A371" s="79"/>
    </row>
    <row r="372">
      <c r="A372" s="79"/>
    </row>
    <row r="373">
      <c r="A373" s="79"/>
    </row>
    <row r="374">
      <c r="A374" s="79"/>
    </row>
    <row r="375">
      <c r="A375" s="79"/>
    </row>
    <row r="376">
      <c r="A376" s="79"/>
    </row>
    <row r="377">
      <c r="A377" s="79"/>
    </row>
    <row r="378">
      <c r="A378" s="79"/>
    </row>
    <row r="379">
      <c r="A379" s="79"/>
    </row>
    <row r="380">
      <c r="A380" s="79"/>
    </row>
    <row r="381">
      <c r="A381" s="79"/>
    </row>
    <row r="382">
      <c r="A382" s="79"/>
    </row>
    <row r="383">
      <c r="A383" s="79"/>
    </row>
    <row r="384">
      <c r="A384" s="79"/>
    </row>
    <row r="385">
      <c r="A385" s="79"/>
    </row>
    <row r="386">
      <c r="A386" s="79"/>
    </row>
    <row r="387">
      <c r="A387" s="79"/>
    </row>
    <row r="388">
      <c r="A388" s="79"/>
    </row>
    <row r="389">
      <c r="A389" s="79"/>
    </row>
    <row r="390">
      <c r="A390" s="79"/>
    </row>
    <row r="391">
      <c r="A391" s="79"/>
    </row>
    <row r="392">
      <c r="A392" s="79"/>
    </row>
    <row r="393">
      <c r="A393" s="79"/>
    </row>
    <row r="394">
      <c r="A394" s="79"/>
    </row>
    <row r="395">
      <c r="A395" s="79"/>
    </row>
    <row r="396">
      <c r="A396" s="79"/>
    </row>
    <row r="397">
      <c r="A397" s="79"/>
    </row>
    <row r="398">
      <c r="A398" s="79"/>
    </row>
    <row r="399">
      <c r="A399" s="79"/>
    </row>
    <row r="400">
      <c r="A400" s="79"/>
    </row>
    <row r="401">
      <c r="A401" s="79"/>
    </row>
    <row r="402">
      <c r="A402" s="79"/>
    </row>
    <row r="403">
      <c r="A403" s="79"/>
    </row>
    <row r="404">
      <c r="A404" s="79"/>
    </row>
    <row r="405">
      <c r="A405" s="79"/>
    </row>
    <row r="406">
      <c r="A406" s="79"/>
    </row>
    <row r="407">
      <c r="A407" s="79"/>
    </row>
    <row r="408">
      <c r="A408" s="79"/>
    </row>
    <row r="409">
      <c r="A409" s="79"/>
    </row>
    <row r="410">
      <c r="A410" s="79"/>
    </row>
    <row r="411">
      <c r="A411" s="79"/>
    </row>
    <row r="412">
      <c r="A412" s="79"/>
    </row>
    <row r="413">
      <c r="A413" s="79"/>
    </row>
    <row r="414">
      <c r="A414" s="79"/>
    </row>
    <row r="415">
      <c r="A415" s="79"/>
    </row>
    <row r="416">
      <c r="A416" s="79"/>
    </row>
    <row r="417">
      <c r="A417" s="79"/>
    </row>
    <row r="418">
      <c r="A418" s="79"/>
    </row>
    <row r="419">
      <c r="A419" s="79"/>
    </row>
    <row r="420">
      <c r="A420" s="79"/>
    </row>
    <row r="421">
      <c r="A421" s="79"/>
    </row>
    <row r="422">
      <c r="A422" s="79"/>
    </row>
    <row r="423">
      <c r="A423" s="79"/>
    </row>
    <row r="424">
      <c r="A424" s="79"/>
    </row>
    <row r="425">
      <c r="A425" s="79"/>
    </row>
    <row r="426">
      <c r="A426" s="79"/>
    </row>
    <row r="427">
      <c r="A427" s="79"/>
    </row>
    <row r="428">
      <c r="A428" s="79"/>
    </row>
    <row r="429">
      <c r="A429" s="79"/>
    </row>
    <row r="430">
      <c r="A430" s="79"/>
    </row>
    <row r="431">
      <c r="A431" s="79"/>
    </row>
    <row r="432">
      <c r="A432" s="79"/>
    </row>
    <row r="433">
      <c r="A433" s="79"/>
    </row>
    <row r="434">
      <c r="A434" s="79"/>
    </row>
    <row r="435">
      <c r="A435" s="79"/>
    </row>
    <row r="436">
      <c r="A436" s="79"/>
    </row>
    <row r="437">
      <c r="A437" s="79"/>
    </row>
    <row r="438">
      <c r="A438" s="79"/>
    </row>
    <row r="439">
      <c r="A439" s="79"/>
    </row>
    <row r="440">
      <c r="A440" s="79"/>
    </row>
    <row r="441">
      <c r="A441" s="79"/>
    </row>
    <row r="442">
      <c r="A442" s="79"/>
    </row>
    <row r="443">
      <c r="A443" s="79"/>
    </row>
    <row r="444">
      <c r="A444" s="79"/>
    </row>
    <row r="445">
      <c r="A445" s="79"/>
    </row>
    <row r="446">
      <c r="A446" s="79"/>
    </row>
    <row r="447">
      <c r="A447" s="79"/>
    </row>
    <row r="448">
      <c r="A448" s="79"/>
    </row>
    <row r="449">
      <c r="A449" s="79"/>
    </row>
    <row r="450">
      <c r="A450" s="79"/>
    </row>
    <row r="451">
      <c r="A451" s="79"/>
    </row>
    <row r="452">
      <c r="A452" s="79"/>
    </row>
    <row r="453">
      <c r="A453" s="79"/>
    </row>
    <row r="454">
      <c r="A454" s="79"/>
    </row>
    <row r="455">
      <c r="A455" s="79"/>
    </row>
    <row r="456">
      <c r="A456" s="79"/>
    </row>
    <row r="457">
      <c r="A457" s="79"/>
    </row>
    <row r="458">
      <c r="A458" s="79"/>
    </row>
    <row r="459">
      <c r="A459" s="79"/>
    </row>
    <row r="460">
      <c r="A460" s="79"/>
    </row>
    <row r="461">
      <c r="A461" s="79"/>
    </row>
    <row r="462">
      <c r="A462" s="79"/>
    </row>
    <row r="463">
      <c r="A463" s="79"/>
    </row>
    <row r="464">
      <c r="A464" s="79"/>
    </row>
    <row r="465">
      <c r="A465" s="79"/>
    </row>
    <row r="466">
      <c r="A466" s="79"/>
    </row>
    <row r="467">
      <c r="A467" s="79"/>
    </row>
    <row r="468">
      <c r="A468" s="79"/>
    </row>
    <row r="469">
      <c r="A469" s="79"/>
    </row>
    <row r="470">
      <c r="A470" s="79"/>
    </row>
    <row r="471">
      <c r="A471" s="79"/>
    </row>
    <row r="472">
      <c r="A472" s="79"/>
    </row>
    <row r="473">
      <c r="A473" s="79"/>
    </row>
    <row r="474">
      <c r="A474" s="79"/>
    </row>
    <row r="475">
      <c r="A475" s="79"/>
    </row>
    <row r="476">
      <c r="A476" s="79"/>
    </row>
    <row r="477">
      <c r="A477" s="79"/>
    </row>
    <row r="478">
      <c r="A478" s="79"/>
    </row>
    <row r="479">
      <c r="A479" s="79"/>
    </row>
    <row r="480">
      <c r="A480" s="79"/>
    </row>
    <row r="481">
      <c r="A481" s="79"/>
    </row>
    <row r="482">
      <c r="A482" s="79"/>
    </row>
    <row r="483">
      <c r="A483" s="79"/>
    </row>
    <row r="484">
      <c r="A484" s="79"/>
    </row>
    <row r="485">
      <c r="A485" s="79"/>
    </row>
    <row r="486">
      <c r="A486" s="79"/>
    </row>
    <row r="487">
      <c r="A487" s="79"/>
    </row>
    <row r="488">
      <c r="A488" s="79"/>
    </row>
    <row r="489">
      <c r="A489" s="79"/>
    </row>
    <row r="490">
      <c r="A490" s="79"/>
    </row>
    <row r="491">
      <c r="A491" s="79"/>
    </row>
    <row r="492">
      <c r="A492" s="79"/>
    </row>
    <row r="493">
      <c r="A493" s="79"/>
    </row>
    <row r="494">
      <c r="A494" s="79"/>
    </row>
    <row r="495">
      <c r="A495" s="79"/>
    </row>
    <row r="496">
      <c r="A496" s="79"/>
    </row>
    <row r="497">
      <c r="A497" s="79"/>
    </row>
    <row r="498">
      <c r="A498" s="79"/>
    </row>
    <row r="499">
      <c r="A499" s="79"/>
    </row>
    <row r="500">
      <c r="A500" s="79"/>
    </row>
    <row r="501">
      <c r="A501" s="79"/>
    </row>
    <row r="502">
      <c r="A502" s="79"/>
    </row>
    <row r="503">
      <c r="A503" s="79"/>
    </row>
    <row r="504">
      <c r="A504" s="79"/>
    </row>
    <row r="505">
      <c r="A505" s="79"/>
    </row>
    <row r="506">
      <c r="A506" s="79"/>
    </row>
    <row r="507">
      <c r="A507" s="79"/>
    </row>
    <row r="508">
      <c r="A508" s="79"/>
    </row>
    <row r="509">
      <c r="A509" s="79"/>
    </row>
    <row r="510">
      <c r="A510" s="79"/>
    </row>
    <row r="511">
      <c r="A511" s="79"/>
    </row>
    <row r="512">
      <c r="A512" s="79"/>
    </row>
    <row r="513">
      <c r="A513" s="79"/>
    </row>
    <row r="514">
      <c r="A514" s="79"/>
    </row>
    <row r="515">
      <c r="A515" s="79"/>
    </row>
    <row r="516">
      <c r="A516" s="79"/>
    </row>
    <row r="517">
      <c r="A517" s="79"/>
    </row>
    <row r="518">
      <c r="A518" s="79"/>
    </row>
    <row r="519">
      <c r="A519" s="79"/>
    </row>
    <row r="520">
      <c r="A520" s="79"/>
    </row>
    <row r="521">
      <c r="A521" s="79"/>
    </row>
    <row r="522">
      <c r="A522" s="79"/>
    </row>
    <row r="523">
      <c r="A523" s="79"/>
    </row>
    <row r="524">
      <c r="A524" s="79"/>
    </row>
    <row r="525">
      <c r="A525" s="79"/>
    </row>
    <row r="526">
      <c r="A526" s="79"/>
    </row>
    <row r="527">
      <c r="A527" s="79"/>
    </row>
    <row r="528">
      <c r="A528" s="79"/>
    </row>
    <row r="529">
      <c r="A529" s="79"/>
    </row>
    <row r="530">
      <c r="A530" s="79"/>
    </row>
    <row r="531">
      <c r="A531" s="79"/>
    </row>
    <row r="532">
      <c r="A532" s="79"/>
    </row>
    <row r="533">
      <c r="A533" s="79"/>
    </row>
    <row r="534">
      <c r="A534" s="79"/>
    </row>
    <row r="535">
      <c r="A535" s="79"/>
    </row>
    <row r="536">
      <c r="A536" s="79"/>
    </row>
    <row r="537">
      <c r="A537" s="79"/>
    </row>
    <row r="538">
      <c r="A538" s="79"/>
    </row>
    <row r="539">
      <c r="A539" s="79"/>
    </row>
    <row r="540">
      <c r="A540" s="79"/>
    </row>
    <row r="541">
      <c r="A541" s="79"/>
    </row>
    <row r="542">
      <c r="A542" s="79"/>
    </row>
    <row r="543">
      <c r="A543" s="79"/>
    </row>
    <row r="544">
      <c r="A544" s="79"/>
    </row>
    <row r="545">
      <c r="A545" s="79"/>
    </row>
    <row r="546">
      <c r="A546" s="79"/>
    </row>
    <row r="547">
      <c r="A547" s="79"/>
    </row>
    <row r="548">
      <c r="A548" s="79"/>
    </row>
    <row r="549">
      <c r="A549" s="79"/>
    </row>
    <row r="550">
      <c r="A550" s="79"/>
    </row>
    <row r="551">
      <c r="A551" s="79"/>
    </row>
    <row r="552">
      <c r="A552" s="79"/>
    </row>
    <row r="553">
      <c r="A553" s="79"/>
    </row>
    <row r="554">
      <c r="A554" s="79"/>
    </row>
    <row r="555">
      <c r="A555" s="79"/>
    </row>
    <row r="556">
      <c r="A556" s="79"/>
    </row>
    <row r="557">
      <c r="A557" s="79"/>
    </row>
    <row r="558">
      <c r="A558" s="79"/>
    </row>
    <row r="559">
      <c r="A559" s="79"/>
    </row>
    <row r="560">
      <c r="A560" s="79"/>
    </row>
    <row r="561">
      <c r="A561" s="79"/>
    </row>
    <row r="562">
      <c r="A562" s="79"/>
    </row>
    <row r="563">
      <c r="A563" s="79"/>
    </row>
    <row r="564">
      <c r="A564" s="79"/>
    </row>
    <row r="565">
      <c r="A565" s="79"/>
    </row>
    <row r="566">
      <c r="A566" s="79"/>
    </row>
    <row r="567">
      <c r="A567" s="79"/>
    </row>
    <row r="568">
      <c r="A568" s="79"/>
    </row>
    <row r="569">
      <c r="A569" s="79"/>
    </row>
    <row r="570">
      <c r="A570" s="79"/>
    </row>
    <row r="571">
      <c r="A571" s="79"/>
    </row>
    <row r="572">
      <c r="A572" s="79"/>
    </row>
    <row r="573">
      <c r="A573" s="79"/>
    </row>
    <row r="574">
      <c r="A574" s="79"/>
    </row>
    <row r="575">
      <c r="A575" s="79"/>
    </row>
    <row r="576">
      <c r="A576" s="79"/>
    </row>
    <row r="577">
      <c r="A577" s="79"/>
    </row>
    <row r="578">
      <c r="A578" s="79"/>
    </row>
    <row r="579">
      <c r="A579" s="79"/>
    </row>
    <row r="580">
      <c r="A580" s="79"/>
    </row>
    <row r="581">
      <c r="A581" s="79"/>
    </row>
    <row r="582">
      <c r="A582" s="79"/>
    </row>
    <row r="583">
      <c r="A583" s="79"/>
    </row>
    <row r="584">
      <c r="A584" s="79"/>
    </row>
    <row r="585">
      <c r="A585" s="79"/>
    </row>
    <row r="586">
      <c r="A586" s="79"/>
    </row>
    <row r="587">
      <c r="A587" s="79"/>
    </row>
    <row r="588">
      <c r="A588" s="79"/>
    </row>
    <row r="589">
      <c r="A589" s="79"/>
    </row>
    <row r="590">
      <c r="A590" s="79"/>
    </row>
    <row r="591">
      <c r="A591" s="79"/>
    </row>
    <row r="592">
      <c r="A592" s="79"/>
    </row>
    <row r="593">
      <c r="A593" s="79"/>
    </row>
    <row r="594">
      <c r="A594" s="79"/>
    </row>
    <row r="595">
      <c r="A595" s="79"/>
    </row>
    <row r="596">
      <c r="A596" s="79"/>
    </row>
    <row r="597">
      <c r="A597" s="79"/>
    </row>
    <row r="598">
      <c r="A598" s="79"/>
    </row>
    <row r="599">
      <c r="A599" s="79"/>
    </row>
    <row r="600">
      <c r="A600" s="79"/>
    </row>
    <row r="601">
      <c r="A601" s="79"/>
    </row>
    <row r="602">
      <c r="A602" s="79"/>
    </row>
    <row r="603">
      <c r="A603" s="79"/>
    </row>
    <row r="604">
      <c r="A604" s="79"/>
    </row>
    <row r="605">
      <c r="A605" s="79"/>
    </row>
    <row r="606">
      <c r="A606" s="79"/>
    </row>
    <row r="607">
      <c r="A607" s="79"/>
    </row>
    <row r="608">
      <c r="A608" s="79"/>
    </row>
    <row r="609">
      <c r="A609" s="79"/>
    </row>
    <row r="610">
      <c r="A610" s="79"/>
    </row>
    <row r="611">
      <c r="A611" s="79"/>
    </row>
    <row r="612">
      <c r="A612" s="79"/>
    </row>
    <row r="613">
      <c r="A613" s="79"/>
    </row>
    <row r="614">
      <c r="A614" s="79"/>
    </row>
    <row r="615">
      <c r="A615" s="79"/>
    </row>
    <row r="616">
      <c r="A616" s="79"/>
    </row>
    <row r="617">
      <c r="A617" s="79"/>
    </row>
    <row r="618">
      <c r="A618" s="79"/>
    </row>
    <row r="619">
      <c r="A619" s="79"/>
    </row>
    <row r="620">
      <c r="A620" s="79"/>
    </row>
    <row r="621">
      <c r="A621" s="79"/>
    </row>
    <row r="622">
      <c r="A622" s="79"/>
    </row>
    <row r="623">
      <c r="A623" s="79"/>
    </row>
    <row r="624">
      <c r="A624" s="79"/>
    </row>
    <row r="625">
      <c r="A625" s="79"/>
    </row>
    <row r="626">
      <c r="A626" s="79"/>
    </row>
    <row r="627">
      <c r="A627" s="79"/>
    </row>
    <row r="628">
      <c r="A628" s="79"/>
    </row>
    <row r="629">
      <c r="A629" s="79"/>
    </row>
    <row r="630">
      <c r="A630" s="79"/>
    </row>
    <row r="631">
      <c r="A631" s="79"/>
    </row>
    <row r="632">
      <c r="A632" s="79"/>
    </row>
    <row r="633">
      <c r="A633" s="79"/>
    </row>
    <row r="634">
      <c r="A634" s="79"/>
    </row>
    <row r="635">
      <c r="A635" s="79"/>
    </row>
    <row r="636">
      <c r="A636" s="79"/>
    </row>
    <row r="637">
      <c r="A637" s="79"/>
    </row>
    <row r="638">
      <c r="A638" s="79"/>
    </row>
    <row r="639">
      <c r="A639" s="79"/>
    </row>
    <row r="640">
      <c r="A640" s="79"/>
    </row>
    <row r="641">
      <c r="A641" s="79"/>
    </row>
    <row r="642">
      <c r="A642" s="79"/>
    </row>
    <row r="643">
      <c r="A643" s="79"/>
    </row>
    <row r="644">
      <c r="A644" s="79"/>
    </row>
    <row r="645">
      <c r="A645" s="79"/>
    </row>
    <row r="646">
      <c r="A646" s="79"/>
    </row>
    <row r="647">
      <c r="A647" s="79"/>
    </row>
    <row r="648">
      <c r="A648" s="79"/>
    </row>
    <row r="649">
      <c r="A649" s="79"/>
    </row>
    <row r="650">
      <c r="A650" s="79"/>
    </row>
    <row r="651">
      <c r="A651" s="79"/>
    </row>
    <row r="652">
      <c r="A652" s="79"/>
    </row>
    <row r="653">
      <c r="A653" s="79"/>
    </row>
    <row r="654">
      <c r="A654" s="79"/>
    </row>
    <row r="655">
      <c r="A655" s="79"/>
    </row>
    <row r="656">
      <c r="A656" s="79"/>
    </row>
    <row r="657">
      <c r="A657" s="79"/>
    </row>
    <row r="658">
      <c r="A658" s="79"/>
    </row>
    <row r="659">
      <c r="A659" s="79"/>
    </row>
    <row r="660">
      <c r="A660" s="79"/>
    </row>
    <row r="661">
      <c r="A661" s="79"/>
    </row>
    <row r="662">
      <c r="A662" s="79"/>
    </row>
    <row r="663">
      <c r="A663" s="79"/>
    </row>
    <row r="664">
      <c r="A664" s="79"/>
    </row>
    <row r="665">
      <c r="A665" s="79"/>
    </row>
    <row r="666">
      <c r="A666" s="79"/>
    </row>
    <row r="667">
      <c r="A667" s="79"/>
    </row>
    <row r="668">
      <c r="A668" s="79"/>
    </row>
    <row r="669">
      <c r="A669" s="79"/>
    </row>
    <row r="670">
      <c r="A670" s="79"/>
    </row>
    <row r="671">
      <c r="A671" s="79"/>
    </row>
    <row r="672">
      <c r="A672" s="79"/>
    </row>
    <row r="673">
      <c r="A673" s="79"/>
    </row>
    <row r="674">
      <c r="A674" s="79"/>
    </row>
    <row r="675">
      <c r="A675" s="79"/>
    </row>
    <row r="676">
      <c r="A676" s="79"/>
    </row>
    <row r="677">
      <c r="A677" s="79"/>
    </row>
    <row r="678">
      <c r="A678" s="79"/>
    </row>
    <row r="679">
      <c r="A679" s="79"/>
    </row>
    <row r="680">
      <c r="A680" s="79"/>
    </row>
    <row r="681">
      <c r="A681" s="79"/>
    </row>
    <row r="682">
      <c r="A682" s="79"/>
    </row>
    <row r="683">
      <c r="A683" s="79"/>
    </row>
    <row r="684">
      <c r="A684" s="79"/>
    </row>
    <row r="685">
      <c r="A685" s="79"/>
    </row>
    <row r="686">
      <c r="A686" s="79"/>
    </row>
    <row r="687">
      <c r="A687" s="79"/>
    </row>
    <row r="688">
      <c r="A688" s="79"/>
    </row>
    <row r="689">
      <c r="A689" s="79"/>
    </row>
    <row r="690">
      <c r="A690" s="79"/>
    </row>
    <row r="691">
      <c r="A691" s="79"/>
    </row>
    <row r="692">
      <c r="A692" s="79"/>
    </row>
    <row r="693">
      <c r="A693" s="79"/>
    </row>
    <row r="694">
      <c r="A694" s="79"/>
    </row>
    <row r="695">
      <c r="A695" s="79"/>
    </row>
    <row r="696">
      <c r="A696" s="79"/>
    </row>
    <row r="697">
      <c r="A697" s="79"/>
    </row>
    <row r="698">
      <c r="A698" s="79"/>
    </row>
    <row r="699">
      <c r="A699" s="79"/>
    </row>
    <row r="700">
      <c r="A700" s="79"/>
    </row>
    <row r="701">
      <c r="A701" s="79"/>
    </row>
    <row r="702">
      <c r="A702" s="79"/>
    </row>
    <row r="703">
      <c r="A703" s="79"/>
    </row>
    <row r="704">
      <c r="A704" s="79"/>
    </row>
    <row r="705">
      <c r="A705" s="79"/>
    </row>
    <row r="706">
      <c r="A706" s="79"/>
    </row>
    <row r="707">
      <c r="A707" s="79"/>
    </row>
    <row r="708">
      <c r="A708" s="79"/>
    </row>
    <row r="709">
      <c r="A709" s="79"/>
    </row>
    <row r="710">
      <c r="A710" s="79"/>
    </row>
    <row r="711">
      <c r="A711" s="79"/>
    </row>
    <row r="712">
      <c r="A712" s="79"/>
    </row>
    <row r="713">
      <c r="A713" s="79"/>
    </row>
    <row r="714">
      <c r="A714" s="79"/>
    </row>
    <row r="715">
      <c r="A715" s="79"/>
    </row>
    <row r="716">
      <c r="A716" s="79"/>
    </row>
    <row r="717">
      <c r="A717" s="79"/>
    </row>
    <row r="718">
      <c r="A718" s="79"/>
    </row>
    <row r="719">
      <c r="A719" s="79"/>
    </row>
    <row r="720">
      <c r="A720" s="79"/>
    </row>
    <row r="721">
      <c r="A721" s="79"/>
    </row>
    <row r="722">
      <c r="A722" s="79"/>
    </row>
    <row r="723">
      <c r="A723" s="79"/>
    </row>
    <row r="724">
      <c r="A724" s="79"/>
    </row>
    <row r="725">
      <c r="A725" s="79"/>
    </row>
    <row r="726">
      <c r="A726" s="79"/>
    </row>
    <row r="727">
      <c r="A727" s="79"/>
    </row>
    <row r="728">
      <c r="A728" s="79"/>
    </row>
    <row r="729">
      <c r="A729" s="79"/>
    </row>
    <row r="730">
      <c r="A730" s="79"/>
    </row>
    <row r="731">
      <c r="A731" s="79"/>
    </row>
    <row r="732">
      <c r="A732" s="79"/>
    </row>
    <row r="733">
      <c r="A733" s="79"/>
    </row>
    <row r="734">
      <c r="A734" s="79"/>
    </row>
    <row r="735">
      <c r="A735" s="79"/>
    </row>
    <row r="736">
      <c r="A736" s="79"/>
    </row>
    <row r="737">
      <c r="A737" s="79"/>
    </row>
    <row r="738">
      <c r="A738" s="79"/>
    </row>
    <row r="739">
      <c r="A739" s="79"/>
    </row>
    <row r="740">
      <c r="A740" s="79"/>
    </row>
    <row r="741">
      <c r="A741" s="79"/>
    </row>
    <row r="742">
      <c r="A742" s="79"/>
    </row>
    <row r="743">
      <c r="A743" s="79"/>
    </row>
    <row r="744">
      <c r="A744" s="79"/>
    </row>
    <row r="745">
      <c r="A745" s="79"/>
    </row>
    <row r="746">
      <c r="A746" s="79"/>
    </row>
    <row r="747">
      <c r="A747" s="79"/>
    </row>
    <row r="748">
      <c r="A748" s="79"/>
    </row>
    <row r="749">
      <c r="A749" s="79"/>
    </row>
    <row r="750">
      <c r="A750" s="79"/>
    </row>
    <row r="751">
      <c r="A751" s="79"/>
    </row>
    <row r="752">
      <c r="A752" s="79"/>
    </row>
    <row r="753">
      <c r="A753" s="79"/>
    </row>
    <row r="754">
      <c r="A754" s="79"/>
    </row>
    <row r="755">
      <c r="A755" s="79"/>
    </row>
    <row r="756">
      <c r="A756" s="79"/>
    </row>
    <row r="757">
      <c r="A757" s="79"/>
    </row>
    <row r="758">
      <c r="A758" s="79"/>
    </row>
    <row r="759">
      <c r="A759" s="79"/>
    </row>
    <row r="760">
      <c r="A760" s="79"/>
    </row>
    <row r="761">
      <c r="A761" s="79"/>
    </row>
    <row r="762">
      <c r="A762" s="79"/>
    </row>
    <row r="763">
      <c r="A763" s="79"/>
    </row>
    <row r="764">
      <c r="A764" s="79"/>
    </row>
    <row r="765">
      <c r="A765" s="79"/>
    </row>
    <row r="766">
      <c r="A766" s="79"/>
    </row>
    <row r="767">
      <c r="A767" s="79"/>
    </row>
    <row r="768">
      <c r="A768" s="79"/>
    </row>
    <row r="769">
      <c r="A769" s="79"/>
    </row>
    <row r="770">
      <c r="A770" s="79"/>
    </row>
    <row r="771">
      <c r="A771" s="79"/>
    </row>
    <row r="772">
      <c r="A772" s="79"/>
    </row>
    <row r="773">
      <c r="A773" s="79"/>
    </row>
    <row r="774">
      <c r="A774" s="79"/>
    </row>
    <row r="775">
      <c r="A775" s="79"/>
    </row>
    <row r="776">
      <c r="A776" s="79"/>
    </row>
    <row r="777">
      <c r="A777" s="79"/>
    </row>
    <row r="778">
      <c r="A778" s="79"/>
    </row>
    <row r="779">
      <c r="A779" s="79"/>
    </row>
    <row r="780">
      <c r="A780" s="79"/>
    </row>
    <row r="781">
      <c r="A781" s="79"/>
    </row>
    <row r="782">
      <c r="A782" s="79"/>
    </row>
    <row r="783">
      <c r="A783" s="79"/>
    </row>
    <row r="784">
      <c r="A784" s="79"/>
    </row>
    <row r="785">
      <c r="A785" s="79"/>
    </row>
    <row r="786">
      <c r="A786" s="79"/>
    </row>
    <row r="787">
      <c r="A787" s="79"/>
    </row>
    <row r="788">
      <c r="A788" s="79"/>
    </row>
    <row r="789">
      <c r="A789" s="79"/>
    </row>
    <row r="790">
      <c r="A790" s="79"/>
    </row>
    <row r="791">
      <c r="A791" s="79"/>
    </row>
    <row r="792">
      <c r="A792" s="79"/>
    </row>
    <row r="793">
      <c r="A793" s="79"/>
    </row>
    <row r="794">
      <c r="A794" s="79"/>
    </row>
    <row r="795">
      <c r="A795" s="79"/>
    </row>
    <row r="796">
      <c r="A796" s="79"/>
    </row>
    <row r="797">
      <c r="A797" s="79"/>
    </row>
    <row r="798">
      <c r="A798" s="79"/>
    </row>
    <row r="799">
      <c r="A799" s="79"/>
    </row>
    <row r="800">
      <c r="A800" s="79"/>
    </row>
    <row r="801">
      <c r="A801" s="79"/>
    </row>
    <row r="802">
      <c r="A802" s="79"/>
    </row>
    <row r="803">
      <c r="A803" s="79"/>
    </row>
    <row r="804">
      <c r="A804" s="79"/>
    </row>
    <row r="805">
      <c r="A805" s="79"/>
    </row>
    <row r="806">
      <c r="A806" s="79"/>
    </row>
    <row r="807">
      <c r="A807" s="79"/>
    </row>
    <row r="808">
      <c r="A808" s="79"/>
    </row>
    <row r="809">
      <c r="A809" s="79"/>
    </row>
    <row r="810">
      <c r="A810" s="79"/>
    </row>
    <row r="811">
      <c r="A811" s="79"/>
    </row>
    <row r="812">
      <c r="A812" s="79"/>
    </row>
    <row r="813">
      <c r="A813" s="79"/>
    </row>
    <row r="814">
      <c r="A814" s="79"/>
    </row>
    <row r="815">
      <c r="A815" s="79"/>
    </row>
    <row r="816">
      <c r="A816" s="79"/>
    </row>
    <row r="817">
      <c r="A817" s="79"/>
    </row>
    <row r="818">
      <c r="A818" s="79"/>
    </row>
    <row r="819">
      <c r="A819" s="79"/>
    </row>
    <row r="820">
      <c r="A820" s="79"/>
    </row>
    <row r="821">
      <c r="A821" s="79"/>
    </row>
    <row r="822">
      <c r="A822" s="79"/>
    </row>
    <row r="823">
      <c r="A823" s="79"/>
    </row>
    <row r="824">
      <c r="A824" s="79"/>
    </row>
    <row r="825">
      <c r="A825" s="79"/>
    </row>
    <row r="826">
      <c r="A826" s="79"/>
    </row>
    <row r="827">
      <c r="A827" s="79"/>
    </row>
    <row r="828">
      <c r="A828" s="79"/>
    </row>
    <row r="829">
      <c r="A829" s="79"/>
    </row>
    <row r="830">
      <c r="A830" s="79"/>
    </row>
    <row r="831">
      <c r="A831" s="79"/>
    </row>
    <row r="832">
      <c r="A832" s="79"/>
    </row>
    <row r="833">
      <c r="A833" s="79"/>
    </row>
    <row r="834">
      <c r="A834" s="79"/>
    </row>
    <row r="835">
      <c r="A835" s="79"/>
    </row>
    <row r="836">
      <c r="A836" s="79"/>
    </row>
    <row r="837">
      <c r="A837" s="79"/>
    </row>
    <row r="838">
      <c r="A838" s="79"/>
    </row>
    <row r="839">
      <c r="A839" s="79"/>
    </row>
    <row r="840">
      <c r="A840" s="79"/>
    </row>
    <row r="841">
      <c r="A841" s="79"/>
    </row>
    <row r="842">
      <c r="A842" s="79"/>
    </row>
    <row r="843">
      <c r="A843" s="79"/>
    </row>
    <row r="844">
      <c r="A844" s="79"/>
    </row>
    <row r="845">
      <c r="A845" s="79"/>
    </row>
    <row r="846">
      <c r="A846" s="79"/>
    </row>
    <row r="847">
      <c r="A847" s="79"/>
    </row>
    <row r="848">
      <c r="A848" s="79"/>
    </row>
    <row r="849">
      <c r="A849" s="79"/>
    </row>
    <row r="850">
      <c r="A850" s="79"/>
    </row>
    <row r="851">
      <c r="A851" s="79"/>
    </row>
    <row r="852">
      <c r="A852" s="79"/>
    </row>
    <row r="853">
      <c r="A853" s="79"/>
    </row>
    <row r="854">
      <c r="A854" s="79"/>
    </row>
    <row r="855">
      <c r="A855" s="79"/>
    </row>
    <row r="856">
      <c r="A856" s="79"/>
    </row>
    <row r="857">
      <c r="A857" s="79"/>
    </row>
    <row r="858">
      <c r="A858" s="79"/>
    </row>
    <row r="859">
      <c r="A859" s="79"/>
    </row>
    <row r="860">
      <c r="A860" s="79"/>
    </row>
    <row r="861">
      <c r="A861" s="79"/>
    </row>
    <row r="862">
      <c r="A862" s="79"/>
    </row>
    <row r="863">
      <c r="A863" s="79"/>
    </row>
    <row r="864">
      <c r="A864" s="79"/>
    </row>
    <row r="865">
      <c r="A865" s="79"/>
    </row>
    <row r="866">
      <c r="A866" s="79"/>
    </row>
    <row r="867">
      <c r="A867" s="79"/>
    </row>
    <row r="868">
      <c r="A868" s="79"/>
    </row>
    <row r="869">
      <c r="A869" s="79"/>
    </row>
    <row r="870">
      <c r="A870" s="79"/>
    </row>
    <row r="871">
      <c r="A871" s="79"/>
    </row>
    <row r="872">
      <c r="A872" s="79"/>
    </row>
    <row r="873">
      <c r="A873" s="79"/>
    </row>
    <row r="874">
      <c r="A874" s="79"/>
    </row>
    <row r="875">
      <c r="A875" s="79"/>
    </row>
    <row r="876">
      <c r="A876" s="79"/>
    </row>
    <row r="877">
      <c r="A877" s="79"/>
    </row>
    <row r="878">
      <c r="A878" s="79"/>
    </row>
    <row r="879">
      <c r="A879" s="79"/>
    </row>
    <row r="880">
      <c r="A880" s="79"/>
    </row>
    <row r="881">
      <c r="A881" s="79"/>
    </row>
    <row r="882">
      <c r="A882" s="79"/>
    </row>
    <row r="883">
      <c r="A883" s="79"/>
    </row>
    <row r="884">
      <c r="A884" s="79"/>
    </row>
    <row r="885">
      <c r="A885" s="79"/>
    </row>
    <row r="886">
      <c r="A886" s="79"/>
    </row>
    <row r="887">
      <c r="A887" s="79"/>
    </row>
    <row r="888">
      <c r="A888" s="79"/>
    </row>
    <row r="889">
      <c r="A889" s="79"/>
    </row>
    <row r="890">
      <c r="A890" s="79"/>
    </row>
    <row r="891">
      <c r="A891" s="79"/>
    </row>
    <row r="892">
      <c r="A892" s="79"/>
    </row>
    <row r="893">
      <c r="A893" s="79"/>
    </row>
    <row r="894">
      <c r="A894" s="79"/>
    </row>
    <row r="895">
      <c r="A895" s="79"/>
    </row>
    <row r="896">
      <c r="A896" s="79"/>
    </row>
    <row r="897">
      <c r="A897" s="79"/>
    </row>
    <row r="898">
      <c r="A898" s="79"/>
    </row>
    <row r="899">
      <c r="A899" s="79"/>
    </row>
    <row r="900">
      <c r="A900" s="79"/>
    </row>
    <row r="901">
      <c r="A901" s="79"/>
    </row>
    <row r="902">
      <c r="A902" s="79"/>
    </row>
    <row r="903">
      <c r="A903" s="79"/>
    </row>
    <row r="904">
      <c r="A904" s="79"/>
    </row>
    <row r="905">
      <c r="A905" s="79"/>
    </row>
    <row r="906">
      <c r="A906" s="79"/>
    </row>
    <row r="907">
      <c r="A907" s="79"/>
    </row>
    <row r="908">
      <c r="A908" s="79"/>
    </row>
    <row r="909">
      <c r="A909" s="79"/>
    </row>
    <row r="910">
      <c r="A910" s="79"/>
    </row>
    <row r="911">
      <c r="A911" s="79"/>
    </row>
    <row r="912">
      <c r="A912" s="79"/>
    </row>
    <row r="913">
      <c r="A913" s="79"/>
    </row>
    <row r="914">
      <c r="A914" s="79"/>
    </row>
    <row r="915">
      <c r="A915" s="79"/>
    </row>
    <row r="916">
      <c r="A916" s="79"/>
    </row>
    <row r="917">
      <c r="A917" s="79"/>
    </row>
    <row r="918">
      <c r="A918" s="79"/>
    </row>
    <row r="919">
      <c r="A919" s="79"/>
    </row>
    <row r="920">
      <c r="A920" s="79"/>
    </row>
    <row r="921">
      <c r="A921" s="79"/>
    </row>
    <row r="922">
      <c r="A922" s="79"/>
    </row>
    <row r="923">
      <c r="A923" s="79"/>
    </row>
    <row r="924">
      <c r="A924" s="79"/>
    </row>
    <row r="925">
      <c r="A925" s="79"/>
    </row>
    <row r="926">
      <c r="A926" s="79"/>
    </row>
    <row r="927">
      <c r="A927" s="79"/>
    </row>
    <row r="928">
      <c r="A928" s="79"/>
    </row>
    <row r="929">
      <c r="A929" s="79"/>
    </row>
    <row r="930">
      <c r="A930" s="79"/>
    </row>
    <row r="931">
      <c r="A931" s="79"/>
    </row>
    <row r="932">
      <c r="A932" s="79"/>
    </row>
    <row r="933">
      <c r="A933" s="79"/>
    </row>
    <row r="934">
      <c r="A934" s="79"/>
    </row>
    <row r="935">
      <c r="A935" s="79"/>
    </row>
    <row r="936">
      <c r="A936" s="79"/>
    </row>
    <row r="937">
      <c r="A937" s="79"/>
    </row>
    <row r="938">
      <c r="A938" s="79"/>
    </row>
    <row r="939">
      <c r="A939" s="79"/>
    </row>
    <row r="940">
      <c r="A940" s="79"/>
    </row>
    <row r="941">
      <c r="A941" s="79"/>
    </row>
    <row r="942">
      <c r="A942" s="79"/>
    </row>
    <row r="943">
      <c r="A943" s="79"/>
    </row>
    <row r="944">
      <c r="A944" s="79"/>
    </row>
    <row r="945">
      <c r="A945" s="79"/>
    </row>
    <row r="946">
      <c r="A946" s="79"/>
    </row>
    <row r="947">
      <c r="A947" s="79"/>
    </row>
    <row r="948">
      <c r="A948" s="79"/>
    </row>
    <row r="949">
      <c r="A949" s="79"/>
    </row>
    <row r="950">
      <c r="A950" s="79"/>
    </row>
    <row r="951">
      <c r="A951" s="79"/>
    </row>
    <row r="952">
      <c r="A952" s="79"/>
    </row>
    <row r="953">
      <c r="A953" s="79"/>
    </row>
    <row r="954">
      <c r="A954" s="79"/>
    </row>
    <row r="955">
      <c r="A955" s="79"/>
    </row>
    <row r="956">
      <c r="A956" s="79"/>
    </row>
    <row r="957">
      <c r="A957" s="79"/>
    </row>
    <row r="958">
      <c r="A958" s="79"/>
    </row>
    <row r="959">
      <c r="A959" s="79"/>
    </row>
    <row r="960">
      <c r="A960" s="79"/>
    </row>
    <row r="961">
      <c r="A961" s="79"/>
    </row>
    <row r="962">
      <c r="A962" s="79"/>
    </row>
    <row r="963">
      <c r="A963" s="79"/>
    </row>
    <row r="964">
      <c r="A964" s="79"/>
    </row>
    <row r="965">
      <c r="A965" s="79"/>
    </row>
    <row r="966">
      <c r="A966" s="79"/>
    </row>
    <row r="967">
      <c r="A967" s="79"/>
    </row>
    <row r="968">
      <c r="A968" s="79"/>
    </row>
    <row r="969">
      <c r="A969" s="79"/>
    </row>
    <row r="970">
      <c r="A970" s="79"/>
    </row>
    <row r="971">
      <c r="A971" s="79"/>
    </row>
    <row r="972">
      <c r="A972" s="79"/>
    </row>
    <row r="973">
      <c r="A973" s="79"/>
    </row>
    <row r="974">
      <c r="A974" s="79"/>
    </row>
    <row r="975">
      <c r="A975" s="79"/>
    </row>
    <row r="976">
      <c r="A976" s="79"/>
    </row>
    <row r="977">
      <c r="A977" s="79"/>
    </row>
    <row r="978">
      <c r="A978" s="79"/>
    </row>
    <row r="979">
      <c r="A979" s="79"/>
    </row>
    <row r="980">
      <c r="A980" s="79"/>
    </row>
    <row r="981">
      <c r="A981" s="79"/>
    </row>
    <row r="982">
      <c r="A982" s="79"/>
    </row>
    <row r="983">
      <c r="A983" s="79"/>
    </row>
    <row r="984">
      <c r="A984" s="79"/>
    </row>
    <row r="985">
      <c r="A985" s="79"/>
    </row>
    <row r="986">
      <c r="A986" s="79"/>
    </row>
    <row r="987">
      <c r="A987" s="79"/>
    </row>
    <row r="988">
      <c r="A988" s="79"/>
    </row>
    <row r="989">
      <c r="A989" s="79"/>
    </row>
    <row r="990">
      <c r="A990" s="79"/>
    </row>
    <row r="991">
      <c r="A991" s="79"/>
    </row>
    <row r="992">
      <c r="A992" s="79"/>
    </row>
    <row r="993">
      <c r="A993" s="79"/>
    </row>
    <row r="994">
      <c r="A994" s="79"/>
    </row>
    <row r="995">
      <c r="A995" s="79"/>
    </row>
    <row r="996">
      <c r="A996" s="79"/>
    </row>
    <row r="997">
      <c r="A997" s="79"/>
    </row>
    <row r="998">
      <c r="A998" s="79"/>
    </row>
    <row r="999">
      <c r="A999" s="79"/>
    </row>
    <row r="1000">
      <c r="A1000" s="79"/>
    </row>
    <row r="1001">
      <c r="A1001" s="79"/>
    </row>
    <row r="1002">
      <c r="A1002" s="79"/>
    </row>
    <row r="1003">
      <c r="A1003" s="79"/>
    </row>
    <row r="1004">
      <c r="A1004" s="79"/>
    </row>
    <row r="1005">
      <c r="A1005" s="79"/>
    </row>
    <row r="1006">
      <c r="A1006" s="79"/>
    </row>
  </sheetData>
  <drawing r:id="rId1"/>
  <tableParts count="36"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</tableParts>
</worksheet>
</file>